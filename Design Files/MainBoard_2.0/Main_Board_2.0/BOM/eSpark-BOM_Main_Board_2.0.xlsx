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griffin-radarsystem-hw\Design Files\MainBoard_2.0\Main_Board_2.0\BOM\"/>
    </mc:Choice>
  </mc:AlternateContent>
  <bookViews>
    <workbookView xWindow="28680" yWindow="-120" windowWidth="29040" windowHeight="15840" activeTab="1"/>
  </bookViews>
  <sheets>
    <sheet name="5 Boards" sheetId="1" r:id="rId1"/>
    <sheet name="1 Board" sheetId="2" r:id="rId2"/>
  </sheets>
  <calcPr calcId="162913"/>
</workbook>
</file>

<file path=xl/calcChain.xml><?xml version="1.0" encoding="utf-8"?>
<calcChain xmlns="http://schemas.openxmlformats.org/spreadsheetml/2006/main">
  <c r="M27" i="2" l="1"/>
  <c r="B27" i="2"/>
  <c r="N27" i="1"/>
  <c r="K27" i="1"/>
  <c r="B27" i="1"/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73" i="2" s="1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8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K72" i="1" l="1"/>
  <c r="N72" i="1" s="1"/>
  <c r="B72" i="1"/>
  <c r="K71" i="1"/>
  <c r="N71" i="1" s="1"/>
  <c r="B71" i="1"/>
  <c r="K70" i="1"/>
  <c r="N70" i="1" s="1"/>
  <c r="B70" i="1"/>
  <c r="K69" i="1"/>
  <c r="N69" i="1" s="1"/>
  <c r="B69" i="1"/>
  <c r="K68" i="1"/>
  <c r="N68" i="1" s="1"/>
  <c r="B68" i="1"/>
  <c r="K67" i="1"/>
  <c r="N67" i="1" s="1"/>
  <c r="B67" i="1"/>
  <c r="K66" i="1"/>
  <c r="N66" i="1" s="1"/>
  <c r="B66" i="1"/>
  <c r="K65" i="1"/>
  <c r="N65" i="1" s="1"/>
  <c r="B65" i="1"/>
  <c r="K64" i="1"/>
  <c r="N64" i="1" s="1"/>
  <c r="B64" i="1"/>
  <c r="K63" i="1"/>
  <c r="N63" i="1" s="1"/>
  <c r="B63" i="1"/>
  <c r="K62" i="1"/>
  <c r="N62" i="1" s="1"/>
  <c r="B62" i="1"/>
  <c r="K61" i="1"/>
  <c r="N61" i="1" s="1"/>
  <c r="B61" i="1"/>
  <c r="K60" i="1"/>
  <c r="N60" i="1" s="1"/>
  <c r="B60" i="1"/>
  <c r="K59" i="1"/>
  <c r="N59" i="1" s="1"/>
  <c r="B59" i="1"/>
  <c r="K58" i="1"/>
  <c r="N58" i="1" s="1"/>
  <c r="B58" i="1"/>
  <c r="K57" i="1"/>
  <c r="N57" i="1" s="1"/>
  <c r="B57" i="1"/>
  <c r="K56" i="1"/>
  <c r="N56" i="1" s="1"/>
  <c r="B56" i="1"/>
  <c r="K55" i="1"/>
  <c r="N55" i="1" s="1"/>
  <c r="B55" i="1"/>
  <c r="K54" i="1"/>
  <c r="N54" i="1" s="1"/>
  <c r="B54" i="1"/>
  <c r="K53" i="1"/>
  <c r="N53" i="1" s="1"/>
  <c r="B53" i="1"/>
  <c r="K52" i="1"/>
  <c r="N52" i="1" s="1"/>
  <c r="B52" i="1"/>
  <c r="K51" i="1"/>
  <c r="N51" i="1" s="1"/>
  <c r="B51" i="1"/>
  <c r="K50" i="1"/>
  <c r="N50" i="1" s="1"/>
  <c r="B50" i="1"/>
  <c r="K49" i="1"/>
  <c r="N49" i="1" s="1"/>
  <c r="B49" i="1"/>
  <c r="K48" i="1"/>
  <c r="N48" i="1" s="1"/>
  <c r="B48" i="1"/>
  <c r="K47" i="1"/>
  <c r="N47" i="1" s="1"/>
  <c r="B47" i="1"/>
  <c r="K46" i="1"/>
  <c r="N46" i="1" s="1"/>
  <c r="B46" i="1"/>
  <c r="K45" i="1"/>
  <c r="N45" i="1" s="1"/>
  <c r="B45" i="1"/>
  <c r="K44" i="1"/>
  <c r="N44" i="1" s="1"/>
  <c r="B44" i="1"/>
  <c r="K43" i="1"/>
  <c r="N43" i="1" s="1"/>
  <c r="B43" i="1"/>
  <c r="K42" i="1"/>
  <c r="N42" i="1" s="1"/>
  <c r="B42" i="1"/>
  <c r="K41" i="1"/>
  <c r="N41" i="1" s="1"/>
  <c r="B41" i="1"/>
  <c r="K40" i="1"/>
  <c r="N40" i="1" s="1"/>
  <c r="B40" i="1"/>
  <c r="K39" i="1"/>
  <c r="N39" i="1" s="1"/>
  <c r="B39" i="1"/>
  <c r="K38" i="1"/>
  <c r="N38" i="1" s="1"/>
  <c r="B38" i="1"/>
  <c r="K37" i="1"/>
  <c r="N37" i="1" s="1"/>
  <c r="B37" i="1"/>
  <c r="K36" i="1"/>
  <c r="N36" i="1" s="1"/>
  <c r="B36" i="1"/>
  <c r="K35" i="1"/>
  <c r="N35" i="1" s="1"/>
  <c r="B35" i="1"/>
  <c r="K34" i="1"/>
  <c r="N34" i="1" s="1"/>
  <c r="B34" i="1"/>
  <c r="K33" i="1"/>
  <c r="N33" i="1" s="1"/>
  <c r="B33" i="1"/>
  <c r="K32" i="1"/>
  <c r="N32" i="1" s="1"/>
  <c r="B32" i="1"/>
  <c r="K31" i="1"/>
  <c r="N31" i="1" s="1"/>
  <c r="B31" i="1"/>
  <c r="K30" i="1"/>
  <c r="N30" i="1" s="1"/>
  <c r="B30" i="1"/>
  <c r="K29" i="1"/>
  <c r="N29" i="1" s="1"/>
  <c r="B29" i="1"/>
  <c r="K28" i="1"/>
  <c r="N28" i="1" s="1"/>
  <c r="B28" i="1"/>
  <c r="K26" i="1"/>
  <c r="N26" i="1" s="1"/>
  <c r="N73" i="1" s="1"/>
  <c r="B26" i="1"/>
  <c r="K25" i="1"/>
  <c r="N25" i="1" s="1"/>
  <c r="B25" i="1"/>
  <c r="K24" i="1"/>
  <c r="N24" i="1" s="1"/>
  <c r="B24" i="1"/>
  <c r="K23" i="1"/>
  <c r="N23" i="1" s="1"/>
  <c r="B23" i="1"/>
  <c r="K22" i="1"/>
  <c r="N22" i="1" s="1"/>
  <c r="B22" i="1"/>
  <c r="K21" i="1"/>
  <c r="N21" i="1" s="1"/>
  <c r="B21" i="1"/>
  <c r="K20" i="1"/>
  <c r="N20" i="1" s="1"/>
  <c r="B20" i="1"/>
  <c r="K19" i="1"/>
  <c r="N19" i="1" s="1"/>
  <c r="B19" i="1"/>
  <c r="K18" i="1"/>
  <c r="N18" i="1" s="1"/>
  <c r="B18" i="1"/>
  <c r="K17" i="1"/>
  <c r="N17" i="1" s="1"/>
  <c r="B17" i="1"/>
  <c r="K16" i="1"/>
  <c r="N16" i="1" s="1"/>
  <c r="B16" i="1"/>
  <c r="K15" i="1"/>
  <c r="N15" i="1" s="1"/>
  <c r="B15" i="1"/>
  <c r="K14" i="1"/>
  <c r="N14" i="1" s="1"/>
  <c r="B14" i="1"/>
  <c r="K13" i="1"/>
  <c r="N13" i="1" s="1"/>
  <c r="B13" i="1"/>
  <c r="K12" i="1"/>
  <c r="N12" i="1" s="1"/>
  <c r="B12" i="1"/>
  <c r="K11" i="1"/>
  <c r="N11" i="1" s="1"/>
  <c r="B11" i="1"/>
  <c r="K10" i="1"/>
  <c r="N10" i="1" s="1"/>
  <c r="B10" i="1"/>
  <c r="K9" i="1" l="1"/>
  <c r="N9" i="1" s="1"/>
  <c r="K8" i="1"/>
  <c r="N8" i="1" s="1"/>
  <c r="N74" i="1" s="1"/>
  <c r="B9" i="1"/>
  <c r="B8" i="1"/>
</calcChain>
</file>

<file path=xl/sharedStrings.xml><?xml version="1.0" encoding="utf-8"?>
<sst xmlns="http://schemas.openxmlformats.org/spreadsheetml/2006/main" count="1192" uniqueCount="395">
  <si>
    <t>Component list</t>
  </si>
  <si>
    <t>Project:</t>
  </si>
  <si>
    <t>#</t>
  </si>
  <si>
    <t>Item Type</t>
  </si>
  <si>
    <t>Capacitor</t>
  </si>
  <si>
    <t>Ferrite Bead</t>
  </si>
  <si>
    <t>Connector</t>
  </si>
  <si>
    <t>Header</t>
  </si>
  <si>
    <t>Right Angle Connector</t>
  </si>
  <si>
    <t>Inductor</t>
  </si>
  <si>
    <t>LED</t>
  </si>
  <si>
    <t>RGB LED</t>
  </si>
  <si>
    <t>Mosfet</t>
  </si>
  <si>
    <t>Resistor</t>
  </si>
  <si>
    <t>Resistors</t>
  </si>
  <si>
    <t>Tactile Switch</t>
  </si>
  <si>
    <t>Switch</t>
  </si>
  <si>
    <t>Slide Switche</t>
  </si>
  <si>
    <t>IC</t>
  </si>
  <si>
    <t>Crystals</t>
  </si>
  <si>
    <t>Crystal</t>
  </si>
  <si>
    <t>Designator</t>
  </si>
  <si>
    <t>C1, C46, C47, C51, C53, C79, C80, C96, C97, C98, C99, C104, C105, C109</t>
  </si>
  <si>
    <t>C2, C3, C14, C23, C25, C26, C27, C28, C29, C30, C32, C52, C54, C57, C61, C65, C69, C73, C76, C90</t>
  </si>
  <si>
    <t>C4, C11, C18, C19, C20, C21, C50, C58, C60, C102</t>
  </si>
  <si>
    <t>C5, C7, C8, C9</t>
  </si>
  <si>
    <t>C6, C12, C15, C17, C55, C56, C81, C87</t>
  </si>
  <si>
    <t>C10, C103</t>
  </si>
  <si>
    <t>C13, C59</t>
  </si>
  <si>
    <t>C16</t>
  </si>
  <si>
    <t>C22, C24, C31, C34, C35, C36, C37, C38, C39, C40, C41</t>
  </si>
  <si>
    <t>C33, C62, C63, C64, C66, C67, C68, C70, C71, C72, C74, C75, C77, C78, C82, C83, C84, C85, C86, C88, C89, C91, C92</t>
  </si>
  <si>
    <t>C42, C43, C44, C45</t>
  </si>
  <si>
    <t>C48, C49</t>
  </si>
  <si>
    <t>C93, C94</t>
  </si>
  <si>
    <t>C95</t>
  </si>
  <si>
    <t>C101, C106</t>
  </si>
  <si>
    <t>FB1</t>
  </si>
  <si>
    <t>FB2, FB3, FB4, FB5</t>
  </si>
  <si>
    <t>J1</t>
  </si>
  <si>
    <t>J4</t>
  </si>
  <si>
    <t>L1, L2</t>
  </si>
  <si>
    <t>L3, L4, L5, L6</t>
  </si>
  <si>
    <t>LED1</t>
  </si>
  <si>
    <t>LED2</t>
  </si>
  <si>
    <t>LED3</t>
  </si>
  <si>
    <t>Q1</t>
  </si>
  <si>
    <t>Q2</t>
  </si>
  <si>
    <t>Q3</t>
  </si>
  <si>
    <t>R1, R6, R8</t>
  </si>
  <si>
    <t>R2</t>
  </si>
  <si>
    <t>R3, R5, R15, R16, R38</t>
  </si>
  <si>
    <t>R4, R9, R12, R14, R21, R22, R23, R28, R29, R30, R31, R32, R33, R34, R35, R36, R37, R40, R41, R42, R45, R49, R55, R58</t>
  </si>
  <si>
    <t>R7</t>
  </si>
  <si>
    <t>R10</t>
  </si>
  <si>
    <t>R11</t>
  </si>
  <si>
    <t>R13</t>
  </si>
  <si>
    <t>R17</t>
  </si>
  <si>
    <t>R18, R19, R20, R39</t>
  </si>
  <si>
    <t>R24, R25, R26, R27</t>
  </si>
  <si>
    <t>R44</t>
  </si>
  <si>
    <t>R46, R56</t>
  </si>
  <si>
    <t>R47, R50, R57</t>
  </si>
  <si>
    <t>R48, R54</t>
  </si>
  <si>
    <t>R59, R61</t>
  </si>
  <si>
    <t>R60</t>
  </si>
  <si>
    <t>SW1</t>
  </si>
  <si>
    <t>SW2, SW7</t>
  </si>
  <si>
    <t>SW3, SW4, SW5</t>
  </si>
  <si>
    <t>SW6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</si>
  <si>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</si>
  <si>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</si>
  <si>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</si>
  <si>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</si>
  <si>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</si>
  <si>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</si>
  <si>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</si>
  <si>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</si>
  <si>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</si>
  <si>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</si>
  <si>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</si>
  <si>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U13</t>
  </si>
  <si>
    <t>X1</t>
  </si>
  <si>
    <t>X2</t>
  </si>
  <si>
    <t>X3</t>
  </si>
  <si>
    <t>Description</t>
  </si>
  <si>
    <t>CAP CER 0.1UF 16V X7R 0402</t>
  </si>
  <si>
    <t>CAP CER 10UF 16V X5R 0603</t>
  </si>
  <si>
    <t>CAP CER 1UF 16V X5R 0402</t>
  </si>
  <si>
    <t>CAP CER 22UF 10V X5R 0603</t>
  </si>
  <si>
    <t>CAP CER 2.2UF 25V X5R 0603</t>
  </si>
  <si>
    <t>CAP CER 10000PF 25V X7R 0402</t>
  </si>
  <si>
    <t>CAP CER 0.047UF 50V X7R 0402</t>
  </si>
  <si>
    <t>CAP CER 1000PF 25V X5R 0201</t>
  </si>
  <si>
    <t>CAP CER 22UF 25V X5R 1206</t>
  </si>
  <si>
    <t>CAP CER 0.22UF 25V X5R 0402</t>
  </si>
  <si>
    <t>CAP CER 390PF 50V C0G 0402</t>
  </si>
  <si>
    <t>CAP CER 4.7PF 50V C0G/NPO 0402</t>
  </si>
  <si>
    <t>CAP CER 19PF 50V C0G/NP0 0402</t>
  </si>
  <si>
    <t>CAP CER 4.7UF 16V X5R 0603</t>
  </si>
  <si>
    <t>CAP CER 18PF 25V C0G/NP0 0201</t>
  </si>
  <si>
    <t>FERRITE BEAD 120 OHM 1206 1LN</t>
  </si>
  <si>
    <t>FERRITE BEAD 100 OHM 0603 1LN</t>
  </si>
  <si>
    <t>CONN RCPT USB2.0 TYP C 24POS SMD</t>
  </si>
  <si>
    <t>Straight 2.54mm Black Brass 1x4P Plugin,P=2.54mm Pin Headers ROHS</t>
  </si>
  <si>
    <t>CONN HEADER SMD R/A 10POS 0.8MM</t>
  </si>
  <si>
    <t>FIXED IND 1UH 5.8A 26 MOHM SMD</t>
  </si>
  <si>
    <t>FIXED IND 470NH 4A 0.027OHM SMD</t>
  </si>
  <si>
    <t>LED GREEN CLEAR CHIP SMD</t>
  </si>
  <si>
    <t>20mA White Diffused -40℃~+85℃ RGB SMD5050 Light Emitting Diodes (LED) ROHS</t>
  </si>
  <si>
    <t>TRANS NPN 40V 0.6A SMD SOT23-3</t>
  </si>
  <si>
    <t>MOSFET P-CH 12V 16A 8SO</t>
  </si>
  <si>
    <t>40V 100mW 100@10mA,1V 200mA 300MHz 300mV@50mA,5mA NPN -55℃~+150℃@(Tj) SOT-723 Bipolar Transistors - BJT ROHS</t>
  </si>
  <si>
    <t>RES 5.1K OHM 1% 1/16W 0402</t>
  </si>
  <si>
    <t>RES SMD 510 OHM 1% 1/16W 0402</t>
  </si>
  <si>
    <t>RES 1K OHM 1% 1/20W 0201</t>
  </si>
  <si>
    <t>RES 10K OHM 1% 1/16W 0402</t>
  </si>
  <si>
    <t>RES 0.01 OHM 1% 1W 1206</t>
  </si>
  <si>
    <t>RES SMD 402K OHM 1% 1/10W 0603</t>
  </si>
  <si>
    <t>RES SMD 100K OHM 1% 1/10W 0603</t>
  </si>
  <si>
    <t>RES 20K OHM 1% 1/10W 0603</t>
  </si>
  <si>
    <t>RES 1.96K OHM 1% 1/10W 0603</t>
  </si>
  <si>
    <t>RES 4.7K OHM 1% 1/16W 0402</t>
  </si>
  <si>
    <t>RES SMD 3.83 OHM 1% 1/16W 0402</t>
  </si>
  <si>
    <t>RES 0 OHM JUMPER 1/16W 0402</t>
  </si>
  <si>
    <t>50mW Thick Film Resistors ±1% 7.87kΩ 0201 Chip Resistor - Surface Mount ROHS</t>
  </si>
  <si>
    <t>82kΩ 0603 Chip Resistor - Surface Mount ROHS</t>
  </si>
  <si>
    <t>RES SMD 750 OHM 0.1% 1/8W 0805</t>
  </si>
  <si>
    <t>Res 80.6 Ohm 1% 1/16W 0402</t>
  </si>
  <si>
    <t>RES 280 OHM 0.5% 1/16W 0402</t>
  </si>
  <si>
    <t>SWITCH TACTILE SPST-NO 0.05A 12V</t>
  </si>
  <si>
    <t>SPST Black Flat dial, raised type 2.54mm 1 SMD,2.5x6mm DIP Switches ROHS</t>
  </si>
  <si>
    <t>SWITCH SLIDE SPDT 200MA 12V</t>
  </si>
  <si>
    <t>1.6-V TO 5.5-V, 20-M, 4-A LOW IQ</t>
  </si>
  <si>
    <t>IC CNTRLR ON/OFF W/DEB TSOT23-6</t>
  </si>
  <si>
    <t>IC FUEL GAUGE LI-ION 1CL 9DSBGA</t>
  </si>
  <si>
    <t>IC REG BOOST 5V 5A 10VSON</t>
  </si>
  <si>
    <t>IC BATT CHG LI-ION 1CELL 16WQFN</t>
  </si>
  <si>
    <t>Active Low 1 VSOF-5 Monitors &amp; Reset Circuits ROHS</t>
  </si>
  <si>
    <t>IC REG LINEAR 3.3V 700MA 4XDFN</t>
  </si>
  <si>
    <t>IC REG LINEAR 1.8V 450MA 4XDFN</t>
  </si>
  <si>
    <t>IC REG BUCK ADJ QUAD 26VQFN</t>
  </si>
  <si>
    <t>IC FLASH 16MBIT SPI/QUAD 8WSON</t>
  </si>
  <si>
    <t>IC MCU 32BIT 256KB FLASH 64LQFP</t>
  </si>
  <si>
    <t>Crystal 40.0000MHZ 8PF SMD</t>
  </si>
  <si>
    <t>CRYSTAL 32.7680KHZ 12.5PF SMD</t>
  </si>
  <si>
    <t>CRYSTAL 8.0000MHZ 12PF SMD</t>
  </si>
  <si>
    <t>Footprint</t>
  </si>
  <si>
    <t>Cap-0402</t>
  </si>
  <si>
    <t>Cap-0603</t>
  </si>
  <si>
    <t>CAP-0603</t>
  </si>
  <si>
    <t>CAP-0201</t>
  </si>
  <si>
    <t>Cap-1206</t>
  </si>
  <si>
    <t>IND-1206</t>
  </si>
  <si>
    <t>IND-0603 (1608 Metric)</t>
  </si>
  <si>
    <t>USB4120-03-C</t>
  </si>
  <si>
    <t>HDR1X4_</t>
  </si>
  <si>
    <t>10144041-10011LF</t>
  </si>
  <si>
    <t>IND-1008 (2520 Metric)</t>
  </si>
  <si>
    <t>LED-0402</t>
  </si>
  <si>
    <t>SMD5050</t>
  </si>
  <si>
    <t>SOT-23</t>
  </si>
  <si>
    <t>SOP-8</t>
  </si>
  <si>
    <t>SOT-723</t>
  </si>
  <si>
    <t>Res-0402</t>
  </si>
  <si>
    <t>Res-0201</t>
  </si>
  <si>
    <t>Res-1206</t>
  </si>
  <si>
    <t>Res-0603</t>
  </si>
  <si>
    <t>RES-0805</t>
  </si>
  <si>
    <t>B3U-1000P</t>
  </si>
  <si>
    <t>DSIC01LSGET</t>
  </si>
  <si>
    <t>CL-SB-12B-02T</t>
  </si>
  <si>
    <t>SOT-583</t>
  </si>
  <si>
    <t>TSOT-23-6</t>
  </si>
  <si>
    <t>DSBGA-9 (1.651x1.61)</t>
  </si>
  <si>
    <t>10-VSON (3x3)</t>
  </si>
  <si>
    <t>16-QFN (3x3).</t>
  </si>
  <si>
    <t>5-VSOF</t>
  </si>
  <si>
    <t>4-UDFN (1.0x1.0)</t>
  </si>
  <si>
    <t>26-VQFN-HR (4.5x4)</t>
  </si>
  <si>
    <t>180-FCBGA (15x15)</t>
  </si>
  <si>
    <t>8-WSON 6x5-mm</t>
  </si>
  <si>
    <t>64-LQFP (10x10)</t>
  </si>
  <si>
    <t>SMD2016-4P</t>
  </si>
  <si>
    <t>ECS-.327-12.5-16-TR</t>
  </si>
  <si>
    <t>SMD3225-4P</t>
  </si>
  <si>
    <t>Manufacturer Part Number</t>
  </si>
  <si>
    <t>CC0402JRX7R7BB104</t>
  </si>
  <si>
    <t>CC0603KRX5R7BB106</t>
  </si>
  <si>
    <t>CC0402KRX5R7BB105</t>
  </si>
  <si>
    <t>CC0603MRX5R6BB226</t>
  </si>
  <si>
    <t>CC0603KRX5R8BB225</t>
  </si>
  <si>
    <t>CC0402KRX7R8BB103</t>
  </si>
  <si>
    <t>CC0402KRX7R9BB473</t>
  </si>
  <si>
    <t>CC0201KRX5R8BB102</t>
  </si>
  <si>
    <t>C3216X5R1E226M160AB</t>
  </si>
  <si>
    <t>CC0402KRX5R8BB224</t>
  </si>
  <si>
    <t>CGA2B2C0G1H391J050BA</t>
  </si>
  <si>
    <t>CC0402BRNPO9BN4R7</t>
  </si>
  <si>
    <t>GJM1555C1H190GB01D</t>
  </si>
  <si>
    <t>CC0603KRX5R7BB475</t>
  </si>
  <si>
    <t>GJM0335C1E180GB01D</t>
  </si>
  <si>
    <t>BLM31PG121SN1L</t>
  </si>
  <si>
    <t>BLM18SP101SZ1D</t>
  </si>
  <si>
    <t>B-2100S04P-A110</t>
  </si>
  <si>
    <t>WPN4020H1R0MT</t>
  </si>
  <si>
    <t>DFE252012PD-R47M=P2</t>
  </si>
  <si>
    <t>XZVG68W-2</t>
  </si>
  <si>
    <t>MHP5050RGBDT</t>
  </si>
  <si>
    <t>MMBT2222A-7-F</t>
  </si>
  <si>
    <t>IRF7410TRPBF</t>
  </si>
  <si>
    <t>MMBT3904M</t>
  </si>
  <si>
    <t>RC0402FR-075K1L</t>
  </si>
  <si>
    <t>RT0402FRE07510RL</t>
  </si>
  <si>
    <t>RC0201FR-071KL</t>
  </si>
  <si>
    <t>RC0402FR-0710KL</t>
  </si>
  <si>
    <t>PA1206FRE470R01Z</t>
  </si>
  <si>
    <t>CRCW0603402KFKEA</t>
  </si>
  <si>
    <t>RC0603FR-0720KL</t>
  </si>
  <si>
    <t>RC0603FR-071K96L</t>
  </si>
  <si>
    <t>RC0402FR-074K7L</t>
  </si>
  <si>
    <t>CRCW04023R83FKED</t>
  </si>
  <si>
    <t>RC0402FR-070RL</t>
  </si>
  <si>
    <t>0201WMF7871TEE</t>
  </si>
  <si>
    <t>0603WAD8202T5E</t>
  </si>
  <si>
    <t>RT0805BRD07750RL</t>
  </si>
  <si>
    <t>RN73H1ETTP80R6F50</t>
  </si>
  <si>
    <t>RN73H1ETTP2800D50</t>
  </si>
  <si>
    <t>EVQ-P7A01P</t>
  </si>
  <si>
    <t>TPS2117DRLR</t>
  </si>
  <si>
    <t>MAX16054AZT+T</t>
  </si>
  <si>
    <t>BQ27426YZFR</t>
  </si>
  <si>
    <t>TPS61232DRCR</t>
  </si>
  <si>
    <t>BQ25302RTER</t>
  </si>
  <si>
    <t>BD4830FVE-TR</t>
  </si>
  <si>
    <t>NCP167BMX330TBG</t>
  </si>
  <si>
    <t>NCP161BMX180TBG</t>
  </si>
  <si>
    <t>LP87524JRNFRQ1</t>
  </si>
  <si>
    <t>AWR1843ARBGALPQ1</t>
  </si>
  <si>
    <t>MX25V1635FZNQ03</t>
  </si>
  <si>
    <t>STM32L433RCT6</t>
  </si>
  <si>
    <t>FW4000044Q</t>
  </si>
  <si>
    <t>ECS-80-12-33-JGN-TR</t>
  </si>
  <si>
    <t>Manufacturer</t>
  </si>
  <si>
    <t>Yageo</t>
  </si>
  <si>
    <t>TDK</t>
  </si>
  <si>
    <t>Murata</t>
  </si>
  <si>
    <t>Murata Electronics</t>
  </si>
  <si>
    <t>Global Connector Technology</t>
  </si>
  <si>
    <t>Ckmtw</t>
  </si>
  <si>
    <t>Amphenol ICC (FCI)</t>
  </si>
  <si>
    <t>Sunlord</t>
  </si>
  <si>
    <t>SunLED</t>
  </si>
  <si>
    <t>MEIHUA</t>
  </si>
  <si>
    <t>Diodes</t>
  </si>
  <si>
    <t>Infineon</t>
  </si>
  <si>
    <t>TECH PUBLIC</t>
  </si>
  <si>
    <t>Vishay</t>
  </si>
  <si>
    <t>Vishay Dale</t>
  </si>
  <si>
    <t>UNI-ROYAL(Uniroyal Elec)</t>
  </si>
  <si>
    <t>UNI-ROYAL</t>
  </si>
  <si>
    <t>KOA Speer</t>
  </si>
  <si>
    <t>Panasonic</t>
  </si>
  <si>
    <t>Omron</t>
  </si>
  <si>
    <t>DongGuan</t>
  </si>
  <si>
    <t>Nidec Copal</t>
  </si>
  <si>
    <t>Texas Instruments</t>
  </si>
  <si>
    <t>Maxim</t>
  </si>
  <si>
    <t>Rohm</t>
  </si>
  <si>
    <t>ON Semiconductor</t>
  </si>
  <si>
    <t>Macronix</t>
  </si>
  <si>
    <t>STMicroelectronics</t>
  </si>
  <si>
    <t>ECS International</t>
  </si>
  <si>
    <t>0.1uF</t>
  </si>
  <si>
    <t>10uF</t>
  </si>
  <si>
    <t>1uF</t>
  </si>
  <si>
    <t>22uF</t>
  </si>
  <si>
    <t>2.2uF</t>
  </si>
  <si>
    <t>10nF</t>
  </si>
  <si>
    <t>47nF</t>
  </si>
  <si>
    <t>1nF</t>
  </si>
  <si>
    <t>0.22uF</t>
  </si>
  <si>
    <t>390pF</t>
  </si>
  <si>
    <t>4.7pF</t>
  </si>
  <si>
    <t>19pF</t>
  </si>
  <si>
    <t>4.7uF</t>
  </si>
  <si>
    <t>18pF</t>
  </si>
  <si>
    <t>100MHz</t>
  </si>
  <si>
    <t>1uH</t>
  </si>
  <si>
    <t>5.1K</t>
  </si>
  <si>
    <t>510R</t>
  </si>
  <si>
    <t>1K</t>
  </si>
  <si>
    <t>10K</t>
  </si>
  <si>
    <t>10mR</t>
  </si>
  <si>
    <t>402K</t>
  </si>
  <si>
    <t>100K</t>
  </si>
  <si>
    <t>20K</t>
  </si>
  <si>
    <t>1.96K</t>
  </si>
  <si>
    <t>4.7K</t>
  </si>
  <si>
    <t>3.83R</t>
  </si>
  <si>
    <t>0R</t>
  </si>
  <si>
    <t>7.87k</t>
  </si>
  <si>
    <t>82K</t>
  </si>
  <si>
    <t>750R</t>
  </si>
  <si>
    <t>80.6R</t>
  </si>
  <si>
    <t>280R</t>
  </si>
  <si>
    <t>40 MHz</t>
  </si>
  <si>
    <t>32.768kHz</t>
  </si>
  <si>
    <t>8.0000MHZ</t>
  </si>
  <si>
    <t>Quantity</t>
  </si>
  <si>
    <t>Quantity (5 Boards)</t>
  </si>
  <si>
    <t>Links</t>
  </si>
  <si>
    <t>Unit Cost (5 Boards)</t>
  </si>
  <si>
    <t>Total Cost (5 Boards)</t>
  </si>
  <si>
    <t>Remarks</t>
  </si>
  <si>
    <t>Reviewer Remarks</t>
  </si>
  <si>
    <t>Value</t>
  </si>
  <si>
    <t>Custom</t>
  </si>
  <si>
    <t>-</t>
  </si>
  <si>
    <t>470nH</t>
  </si>
  <si>
    <t>RF IC Transceiver General Purpose 76GHz ~ 81GHz SPI Interface 180-FCBGA (15x15)</t>
  </si>
  <si>
    <t>Bill of Materials for Project [Main_Board_2.0]</t>
  </si>
  <si>
    <t>Main_Board_2.0</t>
  </si>
  <si>
    <t>0.04600</t>
  </si>
  <si>
    <t>0.45600</t>
  </si>
  <si>
    <t>0.14500</t>
  </si>
  <si>
    <t>0.68000</t>
  </si>
  <si>
    <t>0.25000</t>
  </si>
  <si>
    <t>0.10000</t>
  </si>
  <si>
    <t>0.60300</t>
  </si>
  <si>
    <t>0.05200</t>
  </si>
  <si>
    <t>0.16000</t>
  </si>
  <si>
    <t>0.20000</t>
  </si>
  <si>
    <t>0.11000</t>
  </si>
  <si>
    <t>0.29000</t>
  </si>
  <si>
    <t>0.23000</t>
  </si>
  <si>
    <t>0.92000</t>
  </si>
  <si>
    <t>0.02620</t>
  </si>
  <si>
    <t>0.29970</t>
  </si>
  <si>
    <t>0.10140</t>
  </si>
  <si>
    <t>0.16200</t>
  </si>
  <si>
    <t>0.01600</t>
  </si>
  <si>
    <t>0.04900</t>
  </si>
  <si>
    <t>0.50760</t>
  </si>
  <si>
    <t>0.02310</t>
  </si>
  <si>
    <t>0.04800</t>
  </si>
  <si>
    <t>0.03200</t>
  </si>
  <si>
    <t>0.10700</t>
  </si>
  <si>
    <t>0.07300</t>
  </si>
  <si>
    <t>0.18100</t>
  </si>
  <si>
    <t>0.72000</t>
  </si>
  <si>
    <t>0.41500</t>
  </si>
  <si>
    <t>0.35000</t>
  </si>
  <si>
    <t>0.14000</t>
  </si>
  <si>
    <t>1.13000</t>
  </si>
  <si>
    <t>0.01500</t>
  </si>
  <si>
    <t>0.02700</t>
  </si>
  <si>
    <t>0.00730</t>
  </si>
  <si>
    <t>0.58000</t>
  </si>
  <si>
    <t>0.03600</t>
  </si>
  <si>
    <t>0.12000</t>
  </si>
  <si>
    <t>0.08675</t>
  </si>
  <si>
    <t>0.98300</t>
  </si>
  <si>
    <t>1.67000</t>
  </si>
  <si>
    <t>1.35000</t>
  </si>
  <si>
    <t>3.05000</t>
  </si>
  <si>
    <t>2.18000</t>
  </si>
  <si>
    <t>2.74000</t>
  </si>
  <si>
    <t>1.21000</t>
  </si>
  <si>
    <t>0.61000</t>
  </si>
  <si>
    <t>0.41000</t>
  </si>
  <si>
    <t>0.40000</t>
  </si>
  <si>
    <t>6.21000</t>
  </si>
  <si>
    <t>37.98913</t>
  </si>
  <si>
    <t>1.12000</t>
  </si>
  <si>
    <t>6.19000</t>
  </si>
  <si>
    <t>0.76000</t>
  </si>
  <si>
    <t>0.46000</t>
  </si>
  <si>
    <t>0.63000</t>
  </si>
  <si>
    <t>Digikey</t>
  </si>
  <si>
    <t>Unit Cost (1 Boards)</t>
  </si>
  <si>
    <t>Total Cost (1 Boards)</t>
  </si>
  <si>
    <t>CRCW0603100KFKEA</t>
  </si>
  <si>
    <t>1.02000</t>
  </si>
  <si>
    <t>Slide Switches</t>
  </si>
  <si>
    <t>Total Component Cost</t>
  </si>
  <si>
    <t>Single Board Cost</t>
  </si>
  <si>
    <t>0.10001</t>
  </si>
  <si>
    <t>LCSC</t>
  </si>
  <si>
    <t>XZMDK68W-2</t>
  </si>
  <si>
    <t>LED RED CLEAR CHIP SMD</t>
  </si>
  <si>
    <t>J3</t>
  </si>
  <si>
    <t>J2</t>
  </si>
  <si>
    <t>20021121-00010C4LF</t>
  </si>
  <si>
    <t>CONN HEADER SMD 10POS 1.27MM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</si>
</sst>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8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165" fontId="16" fillId="2" borderId="10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66" fontId="13" fillId="3" borderId="13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1" fillId="3" borderId="0" xfId="0" applyFont="1" applyFill="1" applyBorder="1"/>
    <xf numFmtId="0" fontId="11" fillId="3" borderId="8" xfId="0" applyFont="1" applyFill="1" applyBorder="1"/>
    <xf numFmtId="0" fontId="8" fillId="3" borderId="8" xfId="0" applyFont="1" applyFill="1" applyBorder="1"/>
    <xf numFmtId="0" fontId="7" fillId="3" borderId="7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/>
    </xf>
    <xf numFmtId="0" fontId="14" fillId="3" borderId="0" xfId="0" applyFont="1" applyFill="1" applyBorder="1"/>
    <xf numFmtId="0" fontId="9" fillId="3" borderId="0" xfId="0" applyFont="1" applyFill="1" applyBorder="1"/>
    <xf numFmtId="0" fontId="5" fillId="3" borderId="0" xfId="0" applyFont="1" applyFill="1" applyBorder="1" applyAlignment="1">
      <alignment horizontal="center"/>
    </xf>
    <xf numFmtId="164" fontId="11" fillId="3" borderId="0" xfId="0" applyNumberFormat="1" applyFont="1" applyFill="1" applyBorder="1" applyAlignment="1">
      <alignment horizontal="left"/>
    </xf>
    <xf numFmtId="0" fontId="19" fillId="0" borderId="0" xfId="0" applyFont="1"/>
    <xf numFmtId="0" fontId="13" fillId="3" borderId="0" xfId="0" applyFont="1" applyFill="1" applyBorder="1" applyAlignment="1">
      <alignment horizontal="center"/>
    </xf>
    <xf numFmtId="0" fontId="13" fillId="3" borderId="8" xfId="0" quotePrefix="1" applyFont="1" applyFill="1" applyBorder="1" applyAlignment="1">
      <alignment vertical="center"/>
    </xf>
    <xf numFmtId="0" fontId="10" fillId="3" borderId="8" xfId="0" quotePrefix="1" applyFont="1" applyFill="1" applyBorder="1" applyAlignment="1">
      <alignment horizontal="left"/>
    </xf>
    <xf numFmtId="0" fontId="18" fillId="2" borderId="1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21" fillId="2" borderId="10" xfId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7" fillId="2" borderId="1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66" fontId="16" fillId="2" borderId="10" xfId="0" applyNumberFormat="1" applyFont="1" applyFill="1" applyBorder="1" applyAlignment="1">
      <alignment horizontal="center" vertical="center" wrapText="1"/>
    </xf>
    <xf numFmtId="0" fontId="21" fillId="2" borderId="18" xfId="1" applyFill="1" applyBorder="1" applyAlignment="1">
      <alignment horizontal="center" vertical="center" wrapText="1"/>
    </xf>
    <xf numFmtId="166" fontId="16" fillId="2" borderId="18" xfId="0" applyNumberFormat="1" applyFont="1" applyFill="1" applyBorder="1" applyAlignment="1">
      <alignment horizontal="center" vertical="center" wrapText="1"/>
    </xf>
    <xf numFmtId="166" fontId="13" fillId="3" borderId="9" xfId="0" quotePrefix="1" applyNumberFormat="1" applyFont="1" applyFill="1" applyBorder="1" applyAlignment="1">
      <alignment horizontal="center" vertical="center" wrapText="1"/>
    </xf>
    <xf numFmtId="165" fontId="16" fillId="2" borderId="1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8" xfId="0" applyFont="1" applyFill="1" applyBorder="1" applyAlignment="1" applyProtection="1">
      <alignment horizontal="center" vertical="top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1</xdr:row>
      <xdr:rowOff>57150</xdr:rowOff>
    </xdr:from>
    <xdr:to>
      <xdr:col>15</xdr:col>
      <xdr:colOff>1752600</xdr:colOff>
      <xdr:row>5</xdr:row>
      <xdr:rowOff>161033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22325" y="257175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</xdr:colOff>
      <xdr:row>1</xdr:row>
      <xdr:rowOff>57150</xdr:rowOff>
    </xdr:from>
    <xdr:to>
      <xdr:col>14</xdr:col>
      <xdr:colOff>1752600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25800" y="257175"/>
          <a:ext cx="1714500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yageo/RC0201FR-071KL/3202389?s=N4IgTCBcDaIEoGEAMYkEYBicC0SDsaA0gDIgC6AvkA" TargetMode="External"/><Relationship Id="rId21" Type="http://schemas.openxmlformats.org/officeDocument/2006/relationships/hyperlink" Target="https://www.digikey.com/en/products/detail/sunled/XZVG68W-2/4745975?s=N4IgTCBcDaIBoC0BqBxAbADgOoFoIF0BfIA" TargetMode="External"/><Relationship Id="rId34" Type="http://schemas.openxmlformats.org/officeDocument/2006/relationships/hyperlink" Target="https://www.digikey.com/en/products/detail/vishay-dale/CRCW04023R83FKED/1961488" TargetMode="External"/><Relationship Id="rId42" Type="http://schemas.openxmlformats.org/officeDocument/2006/relationships/hyperlink" Target="https://www.digikey.com/en/products/detail/texas-instruments/TPS2117DRLR/21737520?s=N4IgTCBcDaICoAUDKYCMqDsARASgGRxAF0BfIA" TargetMode="External"/><Relationship Id="rId47" Type="http://schemas.openxmlformats.org/officeDocument/2006/relationships/hyperlink" Target="https://www.digikey.com/en/products/detail/rohm-semiconductor/BD4830FVE-TR/722635?s=N4IgTCBcDaIEIBEAsAOAzABgGIDUCiAtACoBKIAugL5A" TargetMode="External"/><Relationship Id="rId50" Type="http://schemas.openxmlformats.org/officeDocument/2006/relationships/hyperlink" Target="https://www.digikey.com/en/products/detail/texas-instruments/LP87524JRNFRQ1/8322735?s=N4IgTCBcDaIDIAUAcB2ArGALAKQEoDkAxXARQEYQBdAXyA" TargetMode="External"/><Relationship Id="rId55" Type="http://schemas.openxmlformats.org/officeDocument/2006/relationships/hyperlink" Target="https://www.digikey.com/en/products/detail/ecs-inc/ECS-327-12-5-16-TR/5875557" TargetMode="External"/><Relationship Id="rId63" Type="http://schemas.openxmlformats.org/officeDocument/2006/relationships/hyperlink" Target="https://www.lcsc.com/product-detail/Chip-Resistor-Surface-Mount_UNI-ROYAL-Uniroyal-Elec-0603WAD8202T5E_C407560.html" TargetMode="External"/><Relationship Id="rId7" Type="http://schemas.openxmlformats.org/officeDocument/2006/relationships/hyperlink" Target="https://www.digikey.com/en/products/detail/yageo/CC0402KRX7R9BB473/5883379?s=N4IgTCBcDaIMJwAwBZFgNICUAaB2TAnAEJHK4DMIAugL5A" TargetMode="External"/><Relationship Id="rId2" Type="http://schemas.openxmlformats.org/officeDocument/2006/relationships/hyperlink" Target="https://www.digikey.com/en/products/detail/yageo/CC0603KRX5R7BB106/7164370?s=N4IgTCBcDaIMJwAwDZEGYDSAlAGgViwHYAhYgRhRAF0BfIA" TargetMode="External"/><Relationship Id="rId16" Type="http://schemas.openxmlformats.org/officeDocument/2006/relationships/hyperlink" Target="https://www.digikey.com/en/products/detail/murata-electronics/BLM31PG121SN1L/584265?s=N4IgTCBcDaIEIBkCyBmAjABQOJrGgygHJoIgC6AvkA" TargetMode="External"/><Relationship Id="rId29" Type="http://schemas.openxmlformats.org/officeDocument/2006/relationships/hyperlink" Target="https://www.digikey.com/en/products/detail/vishay-dale/CRCW0603402KFKEA/1174964" TargetMode="External"/><Relationship Id="rId11" Type="http://schemas.openxmlformats.org/officeDocument/2006/relationships/hyperlink" Target="https://www.digikey.com/en/products/detail/tdk-corporation/CGA2B2C0G1H391J050BA/2443081?s=N4IgTCBcDaIMIHECCYBCY4AYEEYASAzAJw4BSmArJqkiALoC%2BQA" TargetMode="External"/><Relationship Id="rId24" Type="http://schemas.openxmlformats.org/officeDocument/2006/relationships/hyperlink" Target="https://www.digikey.com/en/products/detail/yageo/RC0402FR-075K1L/726624?s=N4IgTCBcDaIEoGEAMAWJYBicC0SDsArANICMAMiALoC%2BQA" TargetMode="External"/><Relationship Id="rId32" Type="http://schemas.openxmlformats.org/officeDocument/2006/relationships/hyperlink" Target="https://www.digikey.com/en/products/detail/yageo/RC0603FR-071K96L/726878?s=N4IgTCBcDaIEoGEAMA2JBmAYnAtEg7AIwDSAnCgDIgC6AvkA" TargetMode="External"/><Relationship Id="rId37" Type="http://schemas.openxmlformats.org/officeDocument/2006/relationships/hyperlink" Target="https://www.digikey.com/en/products/detail/koa-speer-electronics-inc/RN73H1ETTP80R6F50/9914196?s=N4IgTCBcDaIEoDkDsBmAEgRgKIBUcAUAOABjgDYAxAVmJAF0BfIA" TargetMode="External"/><Relationship Id="rId40" Type="http://schemas.openxmlformats.org/officeDocument/2006/relationships/hyperlink" Target="https://www.digikey.com/en/products/detail/omron-electronics-inc-emc-div/B3U-1000P/1534338" TargetMode="External"/><Relationship Id="rId45" Type="http://schemas.openxmlformats.org/officeDocument/2006/relationships/hyperlink" Target="https://www.digikey.com/en/products/detail/texas-instruments/TPS61232DRCR/6110563?s=N4IgTCBcDaICoAUDKA2AjGAzGAIgJQGE8QBdAXyA" TargetMode="External"/><Relationship Id="rId53" Type="http://schemas.openxmlformats.org/officeDocument/2006/relationships/hyperlink" Target="https://www.digikey.com/en/products/detail/stmicroelectronics/STM32L433RCT6/6132753" TargetMode="External"/><Relationship Id="rId58" Type="http://schemas.openxmlformats.org/officeDocument/2006/relationships/hyperlink" Target="https://www.digikey.com/en/products/detail/sunled/XZMDK68W-2/4745956?s=N4IgTCBcDaIBoC0CyARA0gNgBwHUC0EAugL5A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yageo/CC0603KRX5R8BB225/5195194?s=N4IgTCBcDaIMJwAwDZEGYDSAlAGgViwA4AhYsMPEAXQF8g" TargetMode="External"/><Relationship Id="rId61" Type="http://schemas.openxmlformats.org/officeDocument/2006/relationships/hyperlink" Target="https://www.lcsc.com/product-detail/Bipolar-Transistors-BJT_TECH-PUBLIC-MMBT3904M_C2923360.html" TargetMode="External"/><Relationship Id="rId19" Type="http://schemas.openxmlformats.org/officeDocument/2006/relationships/hyperlink" Target="https://www.digikey.com/en/products/detail/amphenol-cs-fci/10144041-10011LF/9647058?s=N4IgTCBcDaIIwAY4BZkOXAtIpcAyAYiALoC%2BQA" TargetMode="External"/><Relationship Id="rId14" Type="http://schemas.openxmlformats.org/officeDocument/2006/relationships/hyperlink" Target="https://www.digikey.com/en/products/detail/yageo/CC0603KRX5R7BB475/5195193?s=N4IgTCBcDaIMJwAwDZEGYDSAlAGgViwHYAhYgFkLxAF0BfIA" TargetMode="External"/><Relationship Id="rId22" Type="http://schemas.openxmlformats.org/officeDocument/2006/relationships/hyperlink" Target="https://www.digikey.com/en/products/detail/diodes-incorporated/MMBT2222A-7-F/814503" TargetMode="External"/><Relationship Id="rId27" Type="http://schemas.openxmlformats.org/officeDocument/2006/relationships/hyperlink" Target="https://www.digikey.com/en/products/detail/yageo/RC0402FR-0710KL/726523?s=N4IgTCBcDaIEoGEAMAWJYBicC0SDsAjEgNIAyIAugL5A" TargetMode="External"/><Relationship Id="rId30" Type="http://schemas.openxmlformats.org/officeDocument/2006/relationships/hyperlink" Target="https://www.digikey.com/en/products/detail/vishay-dale/CRCW0603100KFKEA/1174896" TargetMode="External"/><Relationship Id="rId35" Type="http://schemas.openxmlformats.org/officeDocument/2006/relationships/hyperlink" Target="https://www.digikey.com/en/products/detail/yageo/RC0402FR-070RL/2827570?s=N4IgTCBcDaIEoGEAMAWJYBicC0SDsScAMiALoC%2BQA" TargetMode="External"/><Relationship Id="rId43" Type="http://schemas.openxmlformats.org/officeDocument/2006/relationships/hyperlink" Target="https://www.digikey.com/en/products/detail/analog-devices-inc-maxim-integrated/MAX16054AZT-T/1938114?s=N4IgTCBcDaILIEEAaBGAbABgKwBYEC0AVAakJAF0BfIA" TargetMode="External"/><Relationship Id="rId48" Type="http://schemas.openxmlformats.org/officeDocument/2006/relationships/hyperlink" Target="https://www.digikey.com/en/products/detail/onsemi/NCP167BMX330TBG/9169761?s=N4IgTCBcDaIHIGEAKBGAbAdgEIFkAaAzAQAwAqWA4iALoC%2BQA" TargetMode="External"/><Relationship Id="rId56" Type="http://schemas.openxmlformats.org/officeDocument/2006/relationships/hyperlink" Target="https://www.digikey.com/en/products/detail/ecs-inc/ECS-80-12-33-JGN-TR/10478754" TargetMode="External"/><Relationship Id="rId64" Type="http://schemas.openxmlformats.org/officeDocument/2006/relationships/hyperlink" Target="https://www.lcsc.com/product-detail/DIP-Switches_DongGuan-KINGTEK-Industrial-Co-LTD-DSIC01LSGET_C54948.html" TargetMode="External"/><Relationship Id="rId8" Type="http://schemas.openxmlformats.org/officeDocument/2006/relationships/hyperlink" Target="https://www.digikey.com/en/products/detail/yageo/CC0201KRX5R8BB102/5883152?s=N4IgTCBcDaIMJwAxkQRgNICUAaBWTAHAEJGrIgC6AvkA" TargetMode="External"/><Relationship Id="rId51" Type="http://schemas.openxmlformats.org/officeDocument/2006/relationships/hyperlink" Target="https://www.digikey.com/en/products/detail/texas-instruments/AWR1843ARBGALPQ1/15856555?s=N4IgTCBcDaIIIHUBKBGAHAFgMxyQIQHE4AZABQEUUQBdAXyA" TargetMode="External"/><Relationship Id="rId3" Type="http://schemas.openxmlformats.org/officeDocument/2006/relationships/hyperlink" Target="https://www.digikey.com/en/products/detail/yageo/CC0402KRX5R7BB105/5195100?s=N4IgTCBcDaIMJwAwBZFgNICUAaBWTA7AEJECMiuIAugL5A" TargetMode="External"/><Relationship Id="rId12" Type="http://schemas.openxmlformats.org/officeDocument/2006/relationships/hyperlink" Target="https://www.digikey.com/en/products/detail/yageo/CC0402BRNPO9BN4R7/5195033?s=N4IgTCBcDaIMJwAwBZFgEICUByAFA8gJzrbKYDsIAugL5A" TargetMode="External"/><Relationship Id="rId17" Type="http://schemas.openxmlformats.org/officeDocument/2006/relationships/hyperlink" Target="https://www.digikey.com/en/products/detail/murata-electronics/BLM18SP101SZ1D/12759438?s=N4IgTCBcDaIEIBkCyBGAHAZQAooAwowC0UAREAXQF8g" TargetMode="External"/><Relationship Id="rId25" Type="http://schemas.openxmlformats.org/officeDocument/2006/relationships/hyperlink" Target="https://www.digikey.com/en/products/detail/yageo/RT0402FRE07510RL/1072055?s=N4IgTCBcDaIEoBUAMAWJYBicCiSDsArAIxJwAyIAugL5A" TargetMode="External"/><Relationship Id="rId33" Type="http://schemas.openxmlformats.org/officeDocument/2006/relationships/hyperlink" Target="https://www.digikey.com/en/products/detail/yageo/RC0402FR-074K7L/2827563?s=N4IgTCBcDaIEoGEAMAWJYBicC0SDsKA0ngDIgC6AvkA" TargetMode="External"/><Relationship Id="rId38" Type="http://schemas.openxmlformats.org/officeDocument/2006/relationships/hyperlink" Target="https://www.digikey.com/en/products/detail/yageo/RT0805BRD07750RL/1076039?s=N4IgTCBcDaIEoBUAMAOJBWAQnAIkg7PuknADIgC6AvkA" TargetMode="External"/><Relationship Id="rId46" Type="http://schemas.openxmlformats.org/officeDocument/2006/relationships/hyperlink" Target="https://www.digikey.com/en/products/detail/texas-instruments/BQ25302RTER/13542543?s=N4IgTCBcDaIEIEUwFYDMAGMAlAKgUSxAF0BfIA" TargetMode="External"/><Relationship Id="rId59" Type="http://schemas.openxmlformats.org/officeDocument/2006/relationships/hyperlink" Target="https://www.lcsc.com/product-detail/Power-Inductors_Sunlord-WPN4020H1R0MT_C98359.html" TargetMode="External"/><Relationship Id="rId67" Type="http://schemas.openxmlformats.org/officeDocument/2006/relationships/drawing" Target="../drawings/drawing1.xml"/><Relationship Id="rId20" Type="http://schemas.openxmlformats.org/officeDocument/2006/relationships/hyperlink" Target="https://www.digikey.com/en/products/detail/murata-electronics/DFE252012PD-R47M-P2/9815909?s=N4IgTCBcDaICIDECiYCsYAMBGMAFOAtAEoAsA7ALIC8uEAugL5A" TargetMode="External"/><Relationship Id="rId41" Type="http://schemas.openxmlformats.org/officeDocument/2006/relationships/hyperlink" Target="https://www.digikey.com/en/products/detail/nidec-components-corporation/CL-SB-12B-02T/3507825?s=N4IgTCBcDaIMIBkC0BlAQkgjGDAGMAKiALoC%2BQA" TargetMode="External"/><Relationship Id="rId54" Type="http://schemas.openxmlformats.org/officeDocument/2006/relationships/hyperlink" Target="https://www.digikey.com/en/products/detail/diodes-incorporated/FW4000044Q/9768030?s=N4IgTCBcDaIGIHUAsAGNKlIIogLoF8g" TargetMode="External"/><Relationship Id="rId62" Type="http://schemas.openxmlformats.org/officeDocument/2006/relationships/hyperlink" Target="https://www.lcsc.com/product-detail/Chip-Resistor-Surface-Mount_UNI-ROYAL-Uniroyal-Elec-0201WMF7871TEE_C473937.html" TargetMode="External"/><Relationship Id="rId1" Type="http://schemas.openxmlformats.org/officeDocument/2006/relationships/hyperlink" Target="https://www.digikey.com/en/products/detail/yageo/CC0402JRX7R7BB104/5195085?s=N4IgTCBcDaIMJwAwBZFgFICUAaB2TuAQoQIwogC6AvkA" TargetMode="External"/><Relationship Id="rId6" Type="http://schemas.openxmlformats.org/officeDocument/2006/relationships/hyperlink" Target="https://www.digikey.com/en/products/detail/yageo/CC0402KRX7R8BB103/2103075?s=N4IgTCBcDaIMJwAwBZFgNICUAaB2TAHAEJECMiAzCALoC%2BQA" TargetMode="External"/><Relationship Id="rId15" Type="http://schemas.openxmlformats.org/officeDocument/2006/relationships/hyperlink" Target="https://www.digikey.com/en/products/detail/murata-electronics/GJM0335C1E180GB01D/6606115?s=N4IgTCBcDaIOICkCyAGAzGgrAYQIwFFcAOFOAIRVwBEQBdAXyA" TargetMode="External"/><Relationship Id="rId23" Type="http://schemas.openxmlformats.org/officeDocument/2006/relationships/hyperlink" Target="https://www.digikey.com/en/products/detail/infineon-technologies/IRF7410TRPBF/1928488" TargetMode="External"/><Relationship Id="rId28" Type="http://schemas.openxmlformats.org/officeDocument/2006/relationships/hyperlink" Target="https://www.digikey.com/en/products/detail/yageo/PA1206FRE470R01Z/16641976?s=N4IgTCBcDaIAoEECMYAMA2AYgJQKIBYB2VbVJALRAF0BfIA" TargetMode="External"/><Relationship Id="rId36" Type="http://schemas.openxmlformats.org/officeDocument/2006/relationships/hyperlink" Target="https://www.digikey.com/en/products/detail/koa-speer-electronics-inc/RN73H1ETTP2800D50/9912174?s=N4IgTCBcDaIEoDkDsBmAEgRgKIBUcAUwAOABhIBEBWEkAXQF8g" TargetMode="External"/><Relationship Id="rId49" Type="http://schemas.openxmlformats.org/officeDocument/2006/relationships/hyperlink" Target="https://www.digikey.com/en/products/detail/onsemi/NCP161BMX180TBG/5257734?s=N4IgTCBcDaIHIGEAKBGAbCgQgWQBooA4AGAFUwHEQBdAXyA" TargetMode="External"/><Relationship Id="rId57" Type="http://schemas.openxmlformats.org/officeDocument/2006/relationships/hyperlink" Target="https://www.lcsc.com/product-detail/Male-Header_Headers-Pins-1-4P-2-54mm-Straight-line_C124378.html" TargetMode="External"/><Relationship Id="rId10" Type="http://schemas.openxmlformats.org/officeDocument/2006/relationships/hyperlink" Target="https://www.digikey.com/en/products/detail/yageo/CC0402KRX5R8BB224/5883337?s=N4IgTCBcDaIMJwAwBZFgNICUAaBWTAHAEJFhjIgC6AvkA" TargetMode="External"/><Relationship Id="rId31" Type="http://schemas.openxmlformats.org/officeDocument/2006/relationships/hyperlink" Target="https://www.digikey.com/en/products/detail/yageo/RC0603FR-0720KL/727040?s=N4IgTCBcDaIEoGEAMA2JBmAYnAtEg7GEgNIAyIAugL5A" TargetMode="External"/><Relationship Id="rId44" Type="http://schemas.openxmlformats.org/officeDocument/2006/relationships/hyperlink" Target="https://www.digikey.com/en/products/detail/texas-instruments/BQ27426YZFR/5805002?s=N4IgTCBcDaIEIEUwHYAsYBsBNAWgMQCUQBdAXyA" TargetMode="External"/><Relationship Id="rId52" Type="http://schemas.openxmlformats.org/officeDocument/2006/relationships/hyperlink" Target="https://www.digikey.com/en/products/detail/macronix/MX25V1635FZNQ03/15284027?s=N4IgTCBcDaILIA0wFYBqBGAbAZmQMQC0A5ARQAZsQBdAXyA" TargetMode="External"/><Relationship Id="rId60" Type="http://schemas.openxmlformats.org/officeDocument/2006/relationships/hyperlink" Target="https://www.lcsc.com/product-detail/Light-Emitting-Diodes-LED_MEIHUA-MHP5050RGBDT_C409780.html" TargetMode="External"/><Relationship Id="rId65" Type="http://schemas.openxmlformats.org/officeDocument/2006/relationships/hyperlink" Target="https://www.digikey.com/en/products/detail/amphenol-cs-fci/20021121-00010C4LF/2209057?s=N4IgTCBcDa4AxzARicgtAuS4GEAsAMgGIgC6AvkA" TargetMode="External"/><Relationship Id="rId4" Type="http://schemas.openxmlformats.org/officeDocument/2006/relationships/hyperlink" Target="https://www.digikey.com/en/products/detail/yageo/CC0603MRX5R6BB226/5195226?s=N4IgTCBcDaIMJwAwDZEGYCyAlAGgVi2QCEiwxkQBdAXyA" TargetMode="External"/><Relationship Id="rId9" Type="http://schemas.openxmlformats.org/officeDocument/2006/relationships/hyperlink" Target="https://www.digikey.com/en/products/detail/tdk-corporation/C3216X5R1E226M160AB/2443478?s=N4IgTCBcDaIMIGYwEYBsANArAJWQUTDFQFk0AGAQQCEQBdAXyA" TargetMode="External"/><Relationship Id="rId13" Type="http://schemas.openxmlformats.org/officeDocument/2006/relationships/hyperlink" Target="https://www.digikey.com/en/products/detail/murata-electronics/GJM1555C1H190GB01D/16033843?s=N4IgTCBcDaIOICkCyBGArBgwigEignAAxwBChKAIiALoC%2BQA" TargetMode="External"/><Relationship Id="rId18" Type="http://schemas.openxmlformats.org/officeDocument/2006/relationships/hyperlink" Target="https://www.digikey.com/en/products/detail/gct/USB4120-03-C/13547390?s=N4IgTCBcDaIKoGUBCAWAjGADAWkwZmwGEQBdAXyA" TargetMode="External"/><Relationship Id="rId39" Type="http://schemas.openxmlformats.org/officeDocument/2006/relationships/hyperlink" Target="https://www.digikey.com/en/products/detail/panasonic-electronic-components/EVQ-P7A01P/4429447?s=N4IgTCBcDaIKIDUCKBaACgdgIIAYCMaIAugL5A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yageo/RC0201FR-071KL/3202389?s=N4IgTCBcDaIEoGEAMYkEYBicC0SDsaA0gDIgC6AvkA" TargetMode="External"/><Relationship Id="rId21" Type="http://schemas.openxmlformats.org/officeDocument/2006/relationships/hyperlink" Target="https://www.digikey.com/en/products/detail/sunled/XZVG68W-2/4745975?s=N4IgTCBcDaIBoC0BqBxAbADgOoFoIF0BfIA" TargetMode="External"/><Relationship Id="rId34" Type="http://schemas.openxmlformats.org/officeDocument/2006/relationships/hyperlink" Target="https://www.digikey.com/en/products/detail/vishay-dale/CRCW04023R83FKED/1961488" TargetMode="External"/><Relationship Id="rId42" Type="http://schemas.openxmlformats.org/officeDocument/2006/relationships/hyperlink" Target="https://www.digikey.com/en/products/detail/texas-instruments/TPS2117DRLR/21737520?s=N4IgTCBcDaICoAUDKYCMqDsARASgGRxAF0BfIA" TargetMode="External"/><Relationship Id="rId47" Type="http://schemas.openxmlformats.org/officeDocument/2006/relationships/hyperlink" Target="https://www.digikey.com/en/products/detail/rohm-semiconductor/BD4830FVE-TR/722635?s=N4IgTCBcDaIEIBEAsAOAzABgGIDUCiAtACoBKIAugL5A" TargetMode="External"/><Relationship Id="rId50" Type="http://schemas.openxmlformats.org/officeDocument/2006/relationships/hyperlink" Target="https://www.digikey.com/en/products/detail/texas-instruments/LP87524JRNFRQ1/8322735?s=N4IgTCBcDaIDIAUAcB2ArGALAKQEoDkAxXARQEYQBdAXyA" TargetMode="External"/><Relationship Id="rId55" Type="http://schemas.openxmlformats.org/officeDocument/2006/relationships/hyperlink" Target="https://www.digikey.com/en/products/detail/ecs-inc/ECS-327-12-5-16-TR/5875557" TargetMode="External"/><Relationship Id="rId63" Type="http://schemas.openxmlformats.org/officeDocument/2006/relationships/hyperlink" Target="https://www.lcsc.com/product-detail/Chip-Resistor-Surface-Mount_UNI-ROYAL-Uniroyal-Elec-0603WAD8202T5E_C407560.html" TargetMode="External"/><Relationship Id="rId7" Type="http://schemas.openxmlformats.org/officeDocument/2006/relationships/hyperlink" Target="https://www.digikey.com/en/products/detail/yageo/CC0402KRX7R9BB473/5883379?s=N4IgTCBcDaIMJwAwBZFgNICUAaB2TAnAEJHK4DMIAugL5A" TargetMode="External"/><Relationship Id="rId2" Type="http://schemas.openxmlformats.org/officeDocument/2006/relationships/hyperlink" Target="https://www.digikey.com/en/products/detail/yageo/CC0603KRX5R7BB106/7164370?s=N4IgTCBcDaIMJwAwDZEGYDSAlAGgViwHYAhYgRhRAF0BfIA" TargetMode="External"/><Relationship Id="rId16" Type="http://schemas.openxmlformats.org/officeDocument/2006/relationships/hyperlink" Target="https://www.digikey.com/en/products/detail/murata-electronics/BLM31PG121SN1L/584265?s=N4IgTCBcDaIEIBkCyBmAjABQOJrGgygHJoIgC6AvkA" TargetMode="External"/><Relationship Id="rId29" Type="http://schemas.openxmlformats.org/officeDocument/2006/relationships/hyperlink" Target="https://www.digikey.com/en/products/detail/vishay-dale/CRCW0603402KFKEA/1174964" TargetMode="External"/><Relationship Id="rId11" Type="http://schemas.openxmlformats.org/officeDocument/2006/relationships/hyperlink" Target="https://www.digikey.com/en/products/detail/tdk-corporation/CGA2B2C0G1H391J050BA/2443081?s=N4IgTCBcDaIMIHECCYBCY4AYEEYASAzAJw4BSmArJqkiALoC%2BQA" TargetMode="External"/><Relationship Id="rId24" Type="http://schemas.openxmlformats.org/officeDocument/2006/relationships/hyperlink" Target="https://www.digikey.com/en/products/detail/yageo/RC0402FR-075K1L/726624?s=N4IgTCBcDaIEoGEAMAWJYBicC0SDsArANICMAMiALoC%2BQA" TargetMode="External"/><Relationship Id="rId32" Type="http://schemas.openxmlformats.org/officeDocument/2006/relationships/hyperlink" Target="https://www.digikey.com/en/products/detail/yageo/RC0603FR-071K96L/726878?s=N4IgTCBcDaIEoGEAMA2JBmAYnAtEg7AIwDSAnCgDIgC6AvkA" TargetMode="External"/><Relationship Id="rId37" Type="http://schemas.openxmlformats.org/officeDocument/2006/relationships/hyperlink" Target="https://www.digikey.com/en/products/detail/koa-speer-electronics-inc/RN73H1ETTP80R6F50/9914196?s=N4IgTCBcDaIEoDkDsBmAEgRgKIBUcAUAOABjgDYAxAVmJAF0BfIA" TargetMode="External"/><Relationship Id="rId40" Type="http://schemas.openxmlformats.org/officeDocument/2006/relationships/hyperlink" Target="https://www.digikey.com/en/products/detail/omron-electronics-inc-emc-div/B3U-1000P/1534338" TargetMode="External"/><Relationship Id="rId45" Type="http://schemas.openxmlformats.org/officeDocument/2006/relationships/hyperlink" Target="https://www.digikey.com/en/products/detail/texas-instruments/TPS61232DRCR/6110563?s=N4IgTCBcDaICoAUDKA2AjGAzGAIgJQGE8QBdAXyA" TargetMode="External"/><Relationship Id="rId53" Type="http://schemas.openxmlformats.org/officeDocument/2006/relationships/hyperlink" Target="https://www.digikey.com/en/products/detail/stmicroelectronics/STM32L433RCT6/6132753" TargetMode="External"/><Relationship Id="rId58" Type="http://schemas.openxmlformats.org/officeDocument/2006/relationships/hyperlink" Target="https://www.lcsc.com/product-detail/Male-Header_Headers-Pins-1-4P-2-54mm-Straight-line_C124378.html" TargetMode="External"/><Relationship Id="rId66" Type="http://schemas.openxmlformats.org/officeDocument/2006/relationships/drawing" Target="../drawings/drawing2.xml"/><Relationship Id="rId5" Type="http://schemas.openxmlformats.org/officeDocument/2006/relationships/hyperlink" Target="https://www.digikey.com/en/products/detail/yageo/CC0603KRX5R8BB225/5195194?s=N4IgTCBcDaIMJwAwDZEGYDSAlAGgViwA4AhYsMPEAXQF8g" TargetMode="External"/><Relationship Id="rId61" Type="http://schemas.openxmlformats.org/officeDocument/2006/relationships/hyperlink" Target="https://www.lcsc.com/product-detail/Bipolar-Transistors-BJT_TECH-PUBLIC-MMBT3904M_C2923360.html" TargetMode="External"/><Relationship Id="rId19" Type="http://schemas.openxmlformats.org/officeDocument/2006/relationships/hyperlink" Target="https://www.digikey.com/en/products/detail/amphenol-cs-fci/10144041-10011LF/9647058?s=N4IgTCBcDaIIwAY4BZkOXAtIpcAyAYiALoC%2BQA" TargetMode="External"/><Relationship Id="rId14" Type="http://schemas.openxmlformats.org/officeDocument/2006/relationships/hyperlink" Target="https://www.digikey.com/en/products/detail/yageo/CC0603KRX5R7BB475/5195193?s=N4IgTCBcDaIMJwAwDZEGYDSAlAGgViwHYAhYgFkLxAF0BfIA" TargetMode="External"/><Relationship Id="rId22" Type="http://schemas.openxmlformats.org/officeDocument/2006/relationships/hyperlink" Target="https://www.digikey.com/en/products/detail/diodes-incorporated/MMBT2222A-7-F/814503" TargetMode="External"/><Relationship Id="rId27" Type="http://schemas.openxmlformats.org/officeDocument/2006/relationships/hyperlink" Target="https://www.digikey.com/en/products/detail/yageo/RC0402FR-0710KL/726523?s=N4IgTCBcDaIEoGEAMAWJYBicC0SDsAjEgNIAyIAugL5A" TargetMode="External"/><Relationship Id="rId30" Type="http://schemas.openxmlformats.org/officeDocument/2006/relationships/hyperlink" Target="https://www.digikey.com/en/products/detail/vishay-dale/CRCW0603100KFKEA/1174896" TargetMode="External"/><Relationship Id="rId35" Type="http://schemas.openxmlformats.org/officeDocument/2006/relationships/hyperlink" Target="https://www.digikey.com/en/products/detail/yageo/RC0402FR-070RL/2827570?s=N4IgTCBcDaIEoGEAMAWJYBicC0SDsScAMiALoC%2BQA" TargetMode="External"/><Relationship Id="rId43" Type="http://schemas.openxmlformats.org/officeDocument/2006/relationships/hyperlink" Target="https://www.digikey.com/en/products/detail/analog-devices-inc-maxim-integrated/MAX16054AZT-T/1938114?s=N4IgTCBcDaILIEEAaBGAbABgKwBYEC0AVAakJAF0BfIA" TargetMode="External"/><Relationship Id="rId48" Type="http://schemas.openxmlformats.org/officeDocument/2006/relationships/hyperlink" Target="https://www.digikey.com/en/products/detail/onsemi/NCP167BMX330TBG/9169761?s=N4IgTCBcDaIHIGEAKBGAbAdgEIFkAaAzAQAwAqWA4iALoC%2BQA" TargetMode="External"/><Relationship Id="rId56" Type="http://schemas.openxmlformats.org/officeDocument/2006/relationships/hyperlink" Target="https://www.digikey.com/en/products/detail/ecs-inc/ECS-80-12-33-JGN-TR/10478754" TargetMode="External"/><Relationship Id="rId64" Type="http://schemas.openxmlformats.org/officeDocument/2006/relationships/hyperlink" Target="https://www.lcsc.com/product-detail/DIP-Switches_DongGuan-KINGTEK-Industrial-Co-LTD-DSIC01LSGET_C54948.html" TargetMode="External"/><Relationship Id="rId8" Type="http://schemas.openxmlformats.org/officeDocument/2006/relationships/hyperlink" Target="https://www.digikey.com/en/products/detail/yageo/CC0201KRX5R8BB102/5883152?s=N4IgTCBcDaIMJwAxkQRgNICUAaBWTAHAEJGrIgC6AvkA" TargetMode="External"/><Relationship Id="rId51" Type="http://schemas.openxmlformats.org/officeDocument/2006/relationships/hyperlink" Target="https://www.digikey.com/en/products/detail/texas-instruments/AWR1843ARBGALPQ1/15856555?s=N4IgTCBcDaIIIHUBKBGAHAFgMxyQIQHE4AZABQEUUQBdAXyA" TargetMode="External"/><Relationship Id="rId3" Type="http://schemas.openxmlformats.org/officeDocument/2006/relationships/hyperlink" Target="https://www.digikey.com/en/products/detail/yageo/CC0402KRX5R7BB105/5195100?s=N4IgTCBcDaIMJwAwBZFgNICUAaBWTA7AEJECMiuIAugL5A" TargetMode="External"/><Relationship Id="rId12" Type="http://schemas.openxmlformats.org/officeDocument/2006/relationships/hyperlink" Target="https://www.digikey.com/en/products/detail/yageo/CC0402BRNPO9BN4R7/5195033?s=N4IgTCBcDaIMJwAwBZFgEICUByAFA8gJzrbKYDsIAugL5A" TargetMode="External"/><Relationship Id="rId17" Type="http://schemas.openxmlformats.org/officeDocument/2006/relationships/hyperlink" Target="https://www.digikey.com/en/products/detail/murata-electronics/BLM18SP101SZ1D/12759438?s=N4IgTCBcDaIEIBkCyBGAHAZQAooAwowC0UAREAXQF8g" TargetMode="External"/><Relationship Id="rId25" Type="http://schemas.openxmlformats.org/officeDocument/2006/relationships/hyperlink" Target="https://www.digikey.com/en/products/detail/yageo/RT0402FRE07510RL/1072055?s=N4IgTCBcDaIEoBUAMAWJYBicCiSDsArAIxJwAyIAugL5A" TargetMode="External"/><Relationship Id="rId33" Type="http://schemas.openxmlformats.org/officeDocument/2006/relationships/hyperlink" Target="https://www.digikey.com/en/products/detail/yageo/RC0402FR-074K7L/2827563?s=N4IgTCBcDaIEoGEAMAWJYBicC0SDsKA0ngDIgC6AvkA" TargetMode="External"/><Relationship Id="rId38" Type="http://schemas.openxmlformats.org/officeDocument/2006/relationships/hyperlink" Target="https://www.digikey.com/en/products/detail/yageo/RT0805BRD07750RL/1076039?s=N4IgTCBcDaIEoBUAMAOJBWAQnAIkg7PuknADIgC6AvkA" TargetMode="External"/><Relationship Id="rId46" Type="http://schemas.openxmlformats.org/officeDocument/2006/relationships/hyperlink" Target="https://www.digikey.com/en/products/detail/texas-instruments/BQ25302RTER/13542543?s=N4IgTCBcDaIEIEUwFYDMAGMAlAKgUSxAF0BfIA" TargetMode="External"/><Relationship Id="rId59" Type="http://schemas.openxmlformats.org/officeDocument/2006/relationships/hyperlink" Target="https://www.lcsc.com/product-detail/Power-Inductors_Sunlord-WPN4020H1R0MT_C98359.html" TargetMode="External"/><Relationship Id="rId20" Type="http://schemas.openxmlformats.org/officeDocument/2006/relationships/hyperlink" Target="https://www.digikey.com/en/products/detail/murata-electronics/DFE252012PD-R47M-P2/9815909?s=N4IgTCBcDaICIDECiYCsYAMBGMAFOAtAEoAsA7ALIC8uEAugL5A" TargetMode="External"/><Relationship Id="rId41" Type="http://schemas.openxmlformats.org/officeDocument/2006/relationships/hyperlink" Target="https://www.digikey.com/en/products/detail/nidec-components-corporation/CL-SB-12B-02T/3507825?s=N4IgTCBcDaIMIBkC0BlAQkgjGDAGMAKiALoC%2BQA" TargetMode="External"/><Relationship Id="rId54" Type="http://schemas.openxmlformats.org/officeDocument/2006/relationships/hyperlink" Target="https://www.digikey.com/en/products/detail/diodes-incorporated/FW4000044Q/9768030?s=N4IgTCBcDaIGIHUAsAGNKlIIogLoF8g" TargetMode="External"/><Relationship Id="rId62" Type="http://schemas.openxmlformats.org/officeDocument/2006/relationships/hyperlink" Target="https://www.lcsc.com/product-detail/Chip-Resistor-Surface-Mount_UNI-ROYAL-Uniroyal-Elec-0201WMF7871TEE_C473937.html" TargetMode="External"/><Relationship Id="rId1" Type="http://schemas.openxmlformats.org/officeDocument/2006/relationships/hyperlink" Target="https://www.digikey.com/en/products/detail/yageo/CC0402JRX7R7BB104/5195085?s=N4IgTCBcDaIMJwAwBZFgFICUAaB2TuAQoQIwogC6AvkA" TargetMode="External"/><Relationship Id="rId6" Type="http://schemas.openxmlformats.org/officeDocument/2006/relationships/hyperlink" Target="https://www.digikey.com/en/products/detail/yageo/CC0402KRX7R8BB103/2103075?s=N4IgTCBcDaIMJwAwBZFgNICUAaB2TAHAEJECMiAzCALoC%2BQA" TargetMode="External"/><Relationship Id="rId15" Type="http://schemas.openxmlformats.org/officeDocument/2006/relationships/hyperlink" Target="https://www.digikey.com/en/products/detail/murata-electronics/GJM0335C1E180GB01D/6606115?s=N4IgTCBcDaIOICkCyAGAzGgrAYQIwFFcAOFOAIRVwBEQBdAXyA" TargetMode="External"/><Relationship Id="rId23" Type="http://schemas.openxmlformats.org/officeDocument/2006/relationships/hyperlink" Target="https://www.digikey.com/en/products/detail/infineon-technologies/IRF7410TRPBF/1928488" TargetMode="External"/><Relationship Id="rId28" Type="http://schemas.openxmlformats.org/officeDocument/2006/relationships/hyperlink" Target="https://www.digikey.com/en/products/detail/yageo/PA1206FRE470R01Z/16641976?s=N4IgTCBcDaIAoEECMYAMA2AYgJQKIBYB2VbVJALRAF0BfIA" TargetMode="External"/><Relationship Id="rId36" Type="http://schemas.openxmlformats.org/officeDocument/2006/relationships/hyperlink" Target="https://www.digikey.com/en/products/detail/koa-speer-electronics-inc/RN73H1ETTP2800D50/9912174?s=N4IgTCBcDaIEoDkDsBmAEgRgKIBUcAUwAOABhIBEBWEkAXQF8g" TargetMode="External"/><Relationship Id="rId49" Type="http://schemas.openxmlformats.org/officeDocument/2006/relationships/hyperlink" Target="https://www.digikey.com/en/products/detail/onsemi/NCP161BMX180TBG/5257734?s=N4IgTCBcDaIHIGEAKBGAbCgQgWQBooA4AGAFUwHEQBdAXyA" TargetMode="External"/><Relationship Id="rId57" Type="http://schemas.openxmlformats.org/officeDocument/2006/relationships/hyperlink" Target="https://www.digikey.com/en/products/detail/sunled/XZMDK68W-2/4745956?s=N4IgTCBcDaIBoC0CyARA0gNgBwHUC0EAugL5A" TargetMode="External"/><Relationship Id="rId10" Type="http://schemas.openxmlformats.org/officeDocument/2006/relationships/hyperlink" Target="https://www.digikey.com/en/products/detail/yageo/CC0402KRX5R8BB224/5883337?s=N4IgTCBcDaIMJwAwBZFgNICUAaBWTAHAEJFhjIgC6AvkA" TargetMode="External"/><Relationship Id="rId31" Type="http://schemas.openxmlformats.org/officeDocument/2006/relationships/hyperlink" Target="https://www.digikey.com/en/products/detail/yageo/RC0603FR-0720KL/727040?s=N4IgTCBcDaIEoGEAMA2JBmAYnAtEg7GEgNIAyIAugL5A" TargetMode="External"/><Relationship Id="rId44" Type="http://schemas.openxmlformats.org/officeDocument/2006/relationships/hyperlink" Target="https://www.digikey.com/en/products/detail/texas-instruments/BQ27426YZFR/5805002?s=N4IgTCBcDaIEIEUwHYAsYBsBNAWgMQCUQBdAXyA" TargetMode="External"/><Relationship Id="rId52" Type="http://schemas.openxmlformats.org/officeDocument/2006/relationships/hyperlink" Target="https://www.digikey.com/en/products/detail/macronix/MX25V1635FZNQ03/15284027?s=N4IgTCBcDaILIA0wFYBqBGAbAZmQMQC0A5ARQAZsQBdAXyA" TargetMode="External"/><Relationship Id="rId60" Type="http://schemas.openxmlformats.org/officeDocument/2006/relationships/hyperlink" Target="https://www.lcsc.com/product-detail/Light-Emitting-Diodes-LED_MEIHUA-MHP5050RGBDT_C409780.html" TargetMode="External"/><Relationship Id="rId65" Type="http://schemas.openxmlformats.org/officeDocument/2006/relationships/hyperlink" Target="https://www.digikey.com/en/products/detail/amphenol-cs-fci/20021121-00010C4LF/2209057?s=N4IgTCBcDa4AxzARicgtAuS4GEAsAMgGIgC6AvkA" TargetMode="External"/><Relationship Id="rId4" Type="http://schemas.openxmlformats.org/officeDocument/2006/relationships/hyperlink" Target="https://www.digikey.com/en/products/detail/yageo/CC0603MRX5R6BB226/5195226?s=N4IgTCBcDaIMJwAwDZEGYCyAlAGgVi2QCEiwxkQBdAXyA" TargetMode="External"/><Relationship Id="rId9" Type="http://schemas.openxmlformats.org/officeDocument/2006/relationships/hyperlink" Target="https://www.digikey.com/en/products/detail/tdk-corporation/C3216X5R1E226M160AB/2443478?s=N4IgTCBcDaIMIGYwEYBsANArAJWQUTDFQFk0AGAQQCEQBdAXyA" TargetMode="External"/><Relationship Id="rId13" Type="http://schemas.openxmlformats.org/officeDocument/2006/relationships/hyperlink" Target="https://www.digikey.com/en/products/detail/murata-electronics/GJM1555C1H190GB01D/16033843?s=N4IgTCBcDaIOICkCyBGArBgwigEignAAxwBChKAIiALoC%2BQA" TargetMode="External"/><Relationship Id="rId18" Type="http://schemas.openxmlformats.org/officeDocument/2006/relationships/hyperlink" Target="https://www.digikey.com/en/products/detail/gct/USB4120-03-C/13547390?s=N4IgTCBcDaIKoGUBCAWAjGADAWkwZmwGEQBdAXyA" TargetMode="External"/><Relationship Id="rId39" Type="http://schemas.openxmlformats.org/officeDocument/2006/relationships/hyperlink" Target="https://www.digikey.com/en/products/detail/panasonic-electronic-components/EVQ-P7A01P/4429447?s=N4IgTCBcDaIKIDUCKBaACgdgIIAYCMaI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86"/>
  <sheetViews>
    <sheetView topLeftCell="A7" workbookViewId="0">
      <selection activeCell="L27" sqref="L27:M27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9.140625" bestFit="1" customWidth="1"/>
    <col min="10" max="10" width="8.7109375" bestFit="1" customWidth="1"/>
    <col min="11" max="11" width="18.28515625" bestFit="1" customWidth="1"/>
    <col min="12" max="12" width="7.5703125" bestFit="1" customWidth="1"/>
    <col min="13" max="13" width="25.85546875" bestFit="1" customWidth="1"/>
    <col min="14" max="14" width="26.42578125" bestFit="1" customWidth="1"/>
    <col min="15" max="15" width="16.5703125" bestFit="1" customWidth="1"/>
    <col min="16" max="16" width="26.85546875" bestFit="1" customWidth="1"/>
  </cols>
  <sheetData>
    <row r="1" spans="1:16" ht="15.75" thickBot="1" x14ac:dyDescent="0.3">
      <c r="A1" s="1"/>
      <c r="B1" s="6"/>
      <c r="C1" s="6"/>
      <c r="D1" s="2"/>
      <c r="E1" s="2"/>
      <c r="F1" s="2"/>
      <c r="G1" s="2"/>
      <c r="H1" s="2"/>
      <c r="I1" s="56"/>
      <c r="J1" s="56"/>
      <c r="K1" s="56"/>
      <c r="L1" s="56"/>
      <c r="M1" s="56"/>
      <c r="N1" s="56"/>
      <c r="O1" s="56"/>
      <c r="P1" s="57"/>
    </row>
    <row r="2" spans="1:16" ht="32.25" thickBot="1" x14ac:dyDescent="0.3">
      <c r="A2" s="1"/>
      <c r="B2" s="7"/>
      <c r="C2" s="13"/>
      <c r="D2" s="4" t="s">
        <v>0</v>
      </c>
      <c r="E2" s="4"/>
      <c r="F2" s="38" t="s">
        <v>321</v>
      </c>
      <c r="G2" s="5"/>
      <c r="H2" s="3"/>
      <c r="I2" s="30"/>
      <c r="J2" s="30"/>
      <c r="K2" s="30"/>
      <c r="L2" s="30"/>
      <c r="M2" s="30"/>
      <c r="N2" s="30"/>
      <c r="O2" s="30"/>
      <c r="P2" s="60"/>
    </row>
    <row r="3" spans="1:16" ht="16.5" thickBot="1" x14ac:dyDescent="0.3">
      <c r="A3" s="1"/>
      <c r="B3" s="8"/>
      <c r="C3" s="25"/>
      <c r="D3" s="37" t="s">
        <v>1</v>
      </c>
      <c r="E3" s="26"/>
      <c r="F3" s="39" t="s">
        <v>322</v>
      </c>
      <c r="G3" s="28"/>
      <c r="H3" s="29"/>
      <c r="I3" s="23"/>
      <c r="J3" s="23"/>
      <c r="K3" s="23"/>
      <c r="L3" s="23"/>
      <c r="M3" s="23"/>
      <c r="N3" s="23"/>
      <c r="O3" s="23"/>
      <c r="P3" s="61"/>
    </row>
    <row r="4" spans="1:16" x14ac:dyDescent="0.25">
      <c r="A4" s="1"/>
      <c r="B4" s="8"/>
      <c r="C4" s="25"/>
      <c r="D4" s="26"/>
      <c r="E4" s="26"/>
      <c r="F4" s="24"/>
      <c r="G4" s="27"/>
      <c r="H4" s="23"/>
      <c r="I4" s="23"/>
      <c r="J4" s="23"/>
      <c r="K4" s="23"/>
      <c r="L4" s="23"/>
      <c r="M4" s="23"/>
      <c r="N4" s="23"/>
      <c r="O4" s="23"/>
      <c r="P4" s="61"/>
    </row>
    <row r="5" spans="1:16" x14ac:dyDescent="0.25">
      <c r="A5" s="1"/>
      <c r="B5" s="9"/>
      <c r="C5" s="31"/>
      <c r="D5" s="32"/>
      <c r="E5" s="32"/>
      <c r="F5" s="24"/>
      <c r="G5" s="32"/>
      <c r="H5" s="33"/>
      <c r="I5" s="33"/>
      <c r="J5" s="33"/>
      <c r="K5" s="33"/>
      <c r="L5" s="33"/>
      <c r="M5" s="33"/>
      <c r="N5" s="33"/>
      <c r="O5" s="33"/>
      <c r="P5" s="61"/>
    </row>
    <row r="6" spans="1:16" ht="15.75" thickBot="1" x14ac:dyDescent="0.3">
      <c r="A6" s="1"/>
      <c r="B6" s="11"/>
      <c r="C6" s="34"/>
      <c r="D6" s="27"/>
      <c r="E6" s="27"/>
      <c r="F6" s="35"/>
      <c r="G6" s="32"/>
      <c r="H6" s="33"/>
      <c r="I6" s="33"/>
      <c r="J6" s="33"/>
      <c r="K6" s="33"/>
      <c r="L6" s="33"/>
      <c r="M6" s="33"/>
      <c r="N6" s="33"/>
      <c r="O6" s="33"/>
      <c r="P6" s="62"/>
    </row>
    <row r="7" spans="1:16" ht="15.75" thickBot="1" x14ac:dyDescent="0.3">
      <c r="A7" s="1"/>
      <c r="B7" s="12" t="s">
        <v>2</v>
      </c>
      <c r="C7" s="12" t="s">
        <v>3</v>
      </c>
      <c r="D7" s="12" t="s">
        <v>21</v>
      </c>
      <c r="E7" s="12" t="s">
        <v>85</v>
      </c>
      <c r="F7" s="12" t="s">
        <v>147</v>
      </c>
      <c r="G7" s="12" t="s">
        <v>186</v>
      </c>
      <c r="H7" s="12" t="s">
        <v>243</v>
      </c>
      <c r="I7" s="42" t="s">
        <v>316</v>
      </c>
      <c r="J7" s="12" t="s">
        <v>309</v>
      </c>
      <c r="K7" s="12" t="s">
        <v>310</v>
      </c>
      <c r="L7" s="12" t="s">
        <v>311</v>
      </c>
      <c r="M7" s="12" t="s">
        <v>312</v>
      </c>
      <c r="N7" s="12" t="s">
        <v>313</v>
      </c>
      <c r="O7" s="12" t="s">
        <v>314</v>
      </c>
      <c r="P7" s="12" t="s">
        <v>315</v>
      </c>
    </row>
    <row r="8" spans="1:16" ht="24" x14ac:dyDescent="0.25">
      <c r="A8" s="1"/>
      <c r="B8" s="16">
        <f>ROW(B8) - ROW($B$7)</f>
        <v>1</v>
      </c>
      <c r="C8" s="21" t="s">
        <v>4</v>
      </c>
      <c r="D8" s="14" t="s">
        <v>22</v>
      </c>
      <c r="E8" s="14" t="s">
        <v>86</v>
      </c>
      <c r="F8" s="14" t="s">
        <v>148</v>
      </c>
      <c r="G8" s="14" t="s">
        <v>187</v>
      </c>
      <c r="H8" s="14" t="s">
        <v>244</v>
      </c>
      <c r="I8" s="43" t="s">
        <v>273</v>
      </c>
      <c r="J8" s="14">
        <v>14</v>
      </c>
      <c r="K8" s="14">
        <f>J8*5</f>
        <v>70</v>
      </c>
      <c r="L8" s="47" t="s">
        <v>379</v>
      </c>
      <c r="M8" s="15" t="s">
        <v>337</v>
      </c>
      <c r="N8" s="15">
        <f>M8*K8</f>
        <v>1.8340000000000001</v>
      </c>
      <c r="O8" s="14"/>
      <c r="P8" s="19"/>
    </row>
    <row r="9" spans="1:16" ht="36" x14ac:dyDescent="0.25">
      <c r="A9" s="1"/>
      <c r="B9" s="17">
        <f t="shared" ref="B9:B72" si="0">ROW(B9) - ROW($B$7)</f>
        <v>2</v>
      </c>
      <c r="C9" s="22" t="s">
        <v>4</v>
      </c>
      <c r="D9" s="20" t="s">
        <v>23</v>
      </c>
      <c r="E9" s="20" t="s">
        <v>87</v>
      </c>
      <c r="F9" s="20" t="s">
        <v>149</v>
      </c>
      <c r="G9" s="20" t="s">
        <v>188</v>
      </c>
      <c r="H9" s="20" t="s">
        <v>244</v>
      </c>
      <c r="I9" s="44" t="s">
        <v>274</v>
      </c>
      <c r="J9" s="20">
        <v>20</v>
      </c>
      <c r="K9" s="20">
        <f t="shared" ref="K9" si="1">J9*5</f>
        <v>100</v>
      </c>
      <c r="L9" s="47" t="s">
        <v>379</v>
      </c>
      <c r="M9" s="15" t="s">
        <v>338</v>
      </c>
      <c r="N9" s="15">
        <f t="shared" ref="N9:N72" si="2">M9*K9</f>
        <v>29.970000000000002</v>
      </c>
      <c r="O9" s="20"/>
      <c r="P9" s="20"/>
    </row>
    <row r="10" spans="1:16" ht="24" x14ac:dyDescent="0.25">
      <c r="A10" s="1"/>
      <c r="B10" s="16">
        <f>ROW(B10) - ROW($B$7)</f>
        <v>3</v>
      </c>
      <c r="C10" s="21" t="s">
        <v>4</v>
      </c>
      <c r="D10" s="14" t="s">
        <v>24</v>
      </c>
      <c r="E10" s="14" t="s">
        <v>88</v>
      </c>
      <c r="F10" s="14" t="s">
        <v>148</v>
      </c>
      <c r="G10" s="14" t="s">
        <v>189</v>
      </c>
      <c r="H10" s="14" t="s">
        <v>244</v>
      </c>
      <c r="I10" s="43" t="s">
        <v>275</v>
      </c>
      <c r="J10" s="14">
        <v>10</v>
      </c>
      <c r="K10" s="14">
        <f>J10*5</f>
        <v>50</v>
      </c>
      <c r="L10" s="47" t="s">
        <v>379</v>
      </c>
      <c r="M10" s="15" t="s">
        <v>339</v>
      </c>
      <c r="N10" s="15">
        <f t="shared" si="2"/>
        <v>5.07</v>
      </c>
      <c r="O10" s="14"/>
      <c r="P10" s="19"/>
    </row>
    <row r="11" spans="1:16" x14ac:dyDescent="0.25">
      <c r="A11" s="1"/>
      <c r="B11" s="17">
        <f t="shared" si="0"/>
        <v>4</v>
      </c>
      <c r="C11" s="22" t="s">
        <v>4</v>
      </c>
      <c r="D11" s="20" t="s">
        <v>25</v>
      </c>
      <c r="E11" s="20" t="s">
        <v>89</v>
      </c>
      <c r="F11" s="20" t="s">
        <v>149</v>
      </c>
      <c r="G11" s="20" t="s">
        <v>190</v>
      </c>
      <c r="H11" s="20" t="s">
        <v>244</v>
      </c>
      <c r="I11" s="44" t="s">
        <v>276</v>
      </c>
      <c r="J11" s="20">
        <v>4</v>
      </c>
      <c r="K11" s="20">
        <f t="shared" ref="K11" si="3">J11*5</f>
        <v>20</v>
      </c>
      <c r="L11" s="47" t="s">
        <v>379</v>
      </c>
      <c r="M11" s="15" t="s">
        <v>324</v>
      </c>
      <c r="N11" s="15">
        <f t="shared" si="2"/>
        <v>9.120000000000001</v>
      </c>
      <c r="O11" s="20"/>
      <c r="P11" s="20"/>
    </row>
    <row r="12" spans="1:16" x14ac:dyDescent="0.25">
      <c r="A12" s="1"/>
      <c r="B12" s="16">
        <f>ROW(B12) - ROW($B$7)</f>
        <v>5</v>
      </c>
      <c r="C12" s="21" t="s">
        <v>4</v>
      </c>
      <c r="D12" s="14" t="s">
        <v>26</v>
      </c>
      <c r="E12" s="14" t="s">
        <v>90</v>
      </c>
      <c r="F12" s="14" t="s">
        <v>150</v>
      </c>
      <c r="G12" s="14" t="s">
        <v>191</v>
      </c>
      <c r="H12" s="14" t="s">
        <v>244</v>
      </c>
      <c r="I12" s="43" t="s">
        <v>277</v>
      </c>
      <c r="J12" s="14">
        <v>8</v>
      </c>
      <c r="K12" s="14">
        <f>J12*5</f>
        <v>40</v>
      </c>
      <c r="L12" s="47" t="s">
        <v>379</v>
      </c>
      <c r="M12" s="15" t="s">
        <v>340</v>
      </c>
      <c r="N12" s="15">
        <f t="shared" si="2"/>
        <v>6.48</v>
      </c>
      <c r="O12" s="14"/>
      <c r="P12" s="19"/>
    </row>
    <row r="13" spans="1:16" x14ac:dyDescent="0.25">
      <c r="A13" s="1"/>
      <c r="B13" s="17">
        <f t="shared" si="0"/>
        <v>6</v>
      </c>
      <c r="C13" s="21" t="s">
        <v>4</v>
      </c>
      <c r="D13" s="20" t="s">
        <v>27</v>
      </c>
      <c r="E13" s="20" t="s">
        <v>91</v>
      </c>
      <c r="F13" s="20" t="s">
        <v>148</v>
      </c>
      <c r="G13" s="20" t="s">
        <v>192</v>
      </c>
      <c r="H13" s="20" t="s">
        <v>244</v>
      </c>
      <c r="I13" s="44" t="s">
        <v>278</v>
      </c>
      <c r="J13" s="20">
        <v>2</v>
      </c>
      <c r="K13" s="20">
        <f t="shared" ref="K13" si="4">J13*5</f>
        <v>10</v>
      </c>
      <c r="L13" s="47" t="s">
        <v>379</v>
      </c>
      <c r="M13" s="15" t="s">
        <v>341</v>
      </c>
      <c r="N13" s="15">
        <f t="shared" si="2"/>
        <v>0.16</v>
      </c>
      <c r="O13" s="20"/>
      <c r="P13" s="20"/>
    </row>
    <row r="14" spans="1:16" x14ac:dyDescent="0.25">
      <c r="A14" s="1"/>
      <c r="B14" s="16">
        <f>ROW(B14) - ROW($B$7)</f>
        <v>7</v>
      </c>
      <c r="C14" s="21" t="s">
        <v>4</v>
      </c>
      <c r="D14" s="14" t="s">
        <v>28</v>
      </c>
      <c r="E14" s="14" t="s">
        <v>92</v>
      </c>
      <c r="F14" s="14" t="s">
        <v>148</v>
      </c>
      <c r="G14" s="14" t="s">
        <v>193</v>
      </c>
      <c r="H14" s="14" t="s">
        <v>244</v>
      </c>
      <c r="I14" s="43" t="s">
        <v>279</v>
      </c>
      <c r="J14" s="14">
        <v>2</v>
      </c>
      <c r="K14" s="14">
        <f>J14*5</f>
        <v>10</v>
      </c>
      <c r="L14" s="47" t="s">
        <v>379</v>
      </c>
      <c r="M14" s="15" t="s">
        <v>342</v>
      </c>
      <c r="N14" s="15">
        <f t="shared" si="2"/>
        <v>0.49</v>
      </c>
      <c r="O14" s="14"/>
      <c r="P14" s="19"/>
    </row>
    <row r="15" spans="1:16" x14ac:dyDescent="0.25">
      <c r="A15" s="1"/>
      <c r="B15" s="17">
        <f t="shared" si="0"/>
        <v>8</v>
      </c>
      <c r="C15" s="21" t="s">
        <v>4</v>
      </c>
      <c r="D15" s="20" t="s">
        <v>29</v>
      </c>
      <c r="E15" s="20" t="s">
        <v>93</v>
      </c>
      <c r="F15" s="20" t="s">
        <v>151</v>
      </c>
      <c r="G15" s="20" t="s">
        <v>194</v>
      </c>
      <c r="H15" s="20" t="s">
        <v>244</v>
      </c>
      <c r="I15" s="44" t="s">
        <v>280</v>
      </c>
      <c r="J15" s="20">
        <v>1</v>
      </c>
      <c r="K15" s="20">
        <f t="shared" ref="K15" si="5">J15*5</f>
        <v>5</v>
      </c>
      <c r="L15" s="47" t="s">
        <v>379</v>
      </c>
      <c r="M15" s="15" t="s">
        <v>328</v>
      </c>
      <c r="N15" s="15">
        <f t="shared" si="2"/>
        <v>0.5</v>
      </c>
      <c r="O15" s="20"/>
      <c r="P15" s="20"/>
    </row>
    <row r="16" spans="1:16" ht="24" x14ac:dyDescent="0.25">
      <c r="A16" s="1"/>
      <c r="B16" s="16">
        <f>ROW(B16) - ROW($B$7)</f>
        <v>9</v>
      </c>
      <c r="C16" s="21" t="s">
        <v>4</v>
      </c>
      <c r="D16" s="14" t="s">
        <v>30</v>
      </c>
      <c r="E16" s="14" t="s">
        <v>94</v>
      </c>
      <c r="F16" s="14" t="s">
        <v>152</v>
      </c>
      <c r="G16" s="14" t="s">
        <v>195</v>
      </c>
      <c r="H16" s="14" t="s">
        <v>245</v>
      </c>
      <c r="I16" s="43" t="s">
        <v>276</v>
      </c>
      <c r="J16" s="14">
        <v>11</v>
      </c>
      <c r="K16" s="14">
        <f>J16*5</f>
        <v>55</v>
      </c>
      <c r="L16" s="47" t="s">
        <v>379</v>
      </c>
      <c r="M16" s="15" t="s">
        <v>343</v>
      </c>
      <c r="N16" s="15">
        <f t="shared" si="2"/>
        <v>27.918000000000003</v>
      </c>
      <c r="O16" s="14"/>
      <c r="P16" s="19"/>
    </row>
    <row r="17" spans="1:16" ht="48" x14ac:dyDescent="0.25">
      <c r="A17" s="1"/>
      <c r="B17" s="17">
        <f t="shared" si="0"/>
        <v>10</v>
      </c>
      <c r="C17" s="21" t="s">
        <v>4</v>
      </c>
      <c r="D17" s="20" t="s">
        <v>31</v>
      </c>
      <c r="E17" s="20" t="s">
        <v>95</v>
      </c>
      <c r="F17" s="20" t="s">
        <v>148</v>
      </c>
      <c r="G17" s="20" t="s">
        <v>196</v>
      </c>
      <c r="H17" s="20" t="s">
        <v>244</v>
      </c>
      <c r="I17" s="44" t="s">
        <v>281</v>
      </c>
      <c r="J17" s="20">
        <v>23</v>
      </c>
      <c r="K17" s="20">
        <f t="shared" ref="K17" si="6">J17*5</f>
        <v>115</v>
      </c>
      <c r="L17" s="47" t="s">
        <v>379</v>
      </c>
      <c r="M17" s="15" t="s">
        <v>344</v>
      </c>
      <c r="N17" s="15">
        <f t="shared" si="2"/>
        <v>2.6564999999999999</v>
      </c>
      <c r="O17" s="20"/>
      <c r="P17" s="20"/>
    </row>
    <row r="18" spans="1:16" x14ac:dyDescent="0.25">
      <c r="A18" s="1"/>
      <c r="B18" s="16">
        <f>ROW(B18) - ROW($B$7)</f>
        <v>11</v>
      </c>
      <c r="C18" s="21" t="s">
        <v>4</v>
      </c>
      <c r="D18" s="14" t="s">
        <v>32</v>
      </c>
      <c r="E18" s="14" t="s">
        <v>96</v>
      </c>
      <c r="F18" s="14" t="s">
        <v>148</v>
      </c>
      <c r="G18" s="14" t="s">
        <v>197</v>
      </c>
      <c r="H18" s="14" t="s">
        <v>245</v>
      </c>
      <c r="I18" s="43" t="s">
        <v>282</v>
      </c>
      <c r="J18" s="14">
        <v>4</v>
      </c>
      <c r="K18" s="14">
        <f>J18*5</f>
        <v>20</v>
      </c>
      <c r="L18" s="47" t="s">
        <v>379</v>
      </c>
      <c r="M18" s="15" t="s">
        <v>345</v>
      </c>
      <c r="N18" s="15">
        <f t="shared" si="2"/>
        <v>0.96</v>
      </c>
      <c r="O18" s="14"/>
      <c r="P18" s="19"/>
    </row>
    <row r="19" spans="1:16" x14ac:dyDescent="0.25">
      <c r="A19" s="1"/>
      <c r="B19" s="17">
        <f t="shared" si="0"/>
        <v>12</v>
      </c>
      <c r="C19" s="21" t="s">
        <v>4</v>
      </c>
      <c r="D19" s="20" t="s">
        <v>33</v>
      </c>
      <c r="E19" s="20" t="s">
        <v>97</v>
      </c>
      <c r="F19" s="20" t="s">
        <v>148</v>
      </c>
      <c r="G19" s="20" t="s">
        <v>198</v>
      </c>
      <c r="H19" s="20" t="s">
        <v>244</v>
      </c>
      <c r="I19" s="44" t="s">
        <v>283</v>
      </c>
      <c r="J19" s="20">
        <v>2</v>
      </c>
      <c r="K19" s="20">
        <f t="shared" ref="K19" si="7">J19*5</f>
        <v>10</v>
      </c>
      <c r="L19" s="47" t="s">
        <v>379</v>
      </c>
      <c r="M19" s="15" t="s">
        <v>346</v>
      </c>
      <c r="N19" s="15">
        <f t="shared" si="2"/>
        <v>0.32</v>
      </c>
      <c r="O19" s="20"/>
      <c r="P19" s="20"/>
    </row>
    <row r="20" spans="1:16" x14ac:dyDescent="0.25">
      <c r="A20" s="1"/>
      <c r="B20" s="16">
        <f>ROW(B20) - ROW($B$7)</f>
        <v>13</v>
      </c>
      <c r="C20" s="21" t="s">
        <v>4</v>
      </c>
      <c r="D20" s="14" t="s">
        <v>34</v>
      </c>
      <c r="E20" s="14" t="s">
        <v>98</v>
      </c>
      <c r="F20" s="14" t="s">
        <v>148</v>
      </c>
      <c r="G20" s="14" t="s">
        <v>199</v>
      </c>
      <c r="H20" s="14" t="s">
        <v>246</v>
      </c>
      <c r="I20" s="43" t="s">
        <v>284</v>
      </c>
      <c r="J20" s="14">
        <v>2</v>
      </c>
      <c r="K20" s="14">
        <f>J20*5</f>
        <v>10</v>
      </c>
      <c r="L20" s="47" t="s">
        <v>379</v>
      </c>
      <c r="M20" s="15" t="s">
        <v>347</v>
      </c>
      <c r="N20" s="15">
        <f t="shared" si="2"/>
        <v>1.07</v>
      </c>
      <c r="O20" s="14"/>
      <c r="P20" s="19"/>
    </row>
    <row r="21" spans="1:16" x14ac:dyDescent="0.25">
      <c r="A21" s="1"/>
      <c r="B21" s="17">
        <f t="shared" si="0"/>
        <v>14</v>
      </c>
      <c r="C21" s="22" t="s">
        <v>4</v>
      </c>
      <c r="D21" s="20" t="s">
        <v>35</v>
      </c>
      <c r="E21" s="20" t="s">
        <v>99</v>
      </c>
      <c r="F21" s="20" t="s">
        <v>149</v>
      </c>
      <c r="G21" s="20" t="s">
        <v>200</v>
      </c>
      <c r="H21" s="20" t="s">
        <v>244</v>
      </c>
      <c r="I21" s="44" t="s">
        <v>285</v>
      </c>
      <c r="J21" s="20">
        <v>1</v>
      </c>
      <c r="K21" s="20">
        <f t="shared" ref="K21" si="8">J21*5</f>
        <v>5</v>
      </c>
      <c r="L21" s="47" t="s">
        <v>379</v>
      </c>
      <c r="M21" s="15" t="s">
        <v>332</v>
      </c>
      <c r="N21" s="15">
        <f t="shared" si="2"/>
        <v>1</v>
      </c>
      <c r="O21" s="20"/>
      <c r="P21" s="20"/>
    </row>
    <row r="22" spans="1:16" x14ac:dyDescent="0.25">
      <c r="A22" s="1"/>
      <c r="B22" s="16">
        <f>ROW(B22) - ROW($B$7)</f>
        <v>15</v>
      </c>
      <c r="C22" s="21" t="s">
        <v>4</v>
      </c>
      <c r="D22" s="14" t="s">
        <v>36</v>
      </c>
      <c r="E22" s="14" t="s">
        <v>100</v>
      </c>
      <c r="F22" s="14" t="s">
        <v>151</v>
      </c>
      <c r="G22" s="14" t="s">
        <v>201</v>
      </c>
      <c r="H22" s="14" t="s">
        <v>247</v>
      </c>
      <c r="I22" s="43" t="s">
        <v>286</v>
      </c>
      <c r="J22" s="14">
        <v>2</v>
      </c>
      <c r="K22" s="14">
        <f>J22*5</f>
        <v>10</v>
      </c>
      <c r="L22" s="47" t="s">
        <v>379</v>
      </c>
      <c r="M22" s="15" t="s">
        <v>348</v>
      </c>
      <c r="N22" s="15">
        <f t="shared" si="2"/>
        <v>0.73</v>
      </c>
      <c r="O22" s="14"/>
      <c r="P22" s="19"/>
    </row>
    <row r="23" spans="1:16" x14ac:dyDescent="0.25">
      <c r="A23" s="1"/>
      <c r="B23" s="17">
        <f t="shared" si="0"/>
        <v>16</v>
      </c>
      <c r="C23" s="22" t="s">
        <v>5</v>
      </c>
      <c r="D23" s="20" t="s">
        <v>37</v>
      </c>
      <c r="E23" s="20" t="s">
        <v>101</v>
      </c>
      <c r="F23" s="20" t="s">
        <v>153</v>
      </c>
      <c r="G23" s="20" t="s">
        <v>202</v>
      </c>
      <c r="H23" s="20" t="s">
        <v>246</v>
      </c>
      <c r="I23" s="44" t="s">
        <v>287</v>
      </c>
      <c r="J23" s="20">
        <v>1</v>
      </c>
      <c r="K23" s="20">
        <f t="shared" ref="K23" si="9">J23*5</f>
        <v>5</v>
      </c>
      <c r="L23" s="47" t="s">
        <v>379</v>
      </c>
      <c r="M23" s="15" t="s">
        <v>334</v>
      </c>
      <c r="N23" s="15">
        <f t="shared" si="2"/>
        <v>1.45</v>
      </c>
      <c r="O23" s="20"/>
      <c r="P23" s="20"/>
    </row>
    <row r="24" spans="1:16" x14ac:dyDescent="0.25">
      <c r="A24" s="1"/>
      <c r="B24" s="16">
        <f>ROW(B24) - ROW($B$7)</f>
        <v>17</v>
      </c>
      <c r="C24" s="21" t="s">
        <v>5</v>
      </c>
      <c r="D24" s="14" t="s">
        <v>38</v>
      </c>
      <c r="E24" s="14" t="s">
        <v>102</v>
      </c>
      <c r="F24" s="14" t="s">
        <v>154</v>
      </c>
      <c r="G24" s="14" t="s">
        <v>203</v>
      </c>
      <c r="H24" s="14" t="s">
        <v>246</v>
      </c>
      <c r="I24" s="43" t="s">
        <v>287</v>
      </c>
      <c r="J24" s="14">
        <v>4</v>
      </c>
      <c r="K24" s="14">
        <f>J24*5</f>
        <v>20</v>
      </c>
      <c r="L24" s="47" t="s">
        <v>379</v>
      </c>
      <c r="M24" s="15" t="s">
        <v>349</v>
      </c>
      <c r="N24" s="15">
        <f t="shared" si="2"/>
        <v>3.62</v>
      </c>
      <c r="O24" s="14"/>
      <c r="P24" s="19"/>
    </row>
    <row r="25" spans="1:16" ht="24" x14ac:dyDescent="0.25">
      <c r="A25" s="1"/>
      <c r="B25" s="17">
        <f t="shared" si="0"/>
        <v>18</v>
      </c>
      <c r="C25" s="22" t="s">
        <v>6</v>
      </c>
      <c r="D25" s="20" t="s">
        <v>39</v>
      </c>
      <c r="E25" s="20" t="s">
        <v>103</v>
      </c>
      <c r="F25" s="20" t="s">
        <v>317</v>
      </c>
      <c r="G25" s="20" t="s">
        <v>155</v>
      </c>
      <c r="H25" s="20" t="s">
        <v>248</v>
      </c>
      <c r="I25" s="44" t="s">
        <v>318</v>
      </c>
      <c r="J25" s="20">
        <v>1</v>
      </c>
      <c r="K25" s="20">
        <f t="shared" ref="K25" si="10">J25*5</f>
        <v>5</v>
      </c>
      <c r="L25" s="47" t="s">
        <v>379</v>
      </c>
      <c r="M25" s="15" t="s">
        <v>336</v>
      </c>
      <c r="N25" s="15">
        <f t="shared" si="2"/>
        <v>4.6000000000000005</v>
      </c>
      <c r="O25" s="20"/>
      <c r="P25" s="20"/>
    </row>
    <row r="26" spans="1:16" ht="24" x14ac:dyDescent="0.25">
      <c r="A26" s="1"/>
      <c r="B26" s="16">
        <f>ROW(B26) - ROW($B$7)</f>
        <v>19</v>
      </c>
      <c r="C26" s="21" t="s">
        <v>7</v>
      </c>
      <c r="D26" s="14" t="s">
        <v>392</v>
      </c>
      <c r="E26" s="14" t="s">
        <v>104</v>
      </c>
      <c r="F26" s="14" t="s">
        <v>156</v>
      </c>
      <c r="G26" s="14" t="s">
        <v>204</v>
      </c>
      <c r="H26" s="14" t="s">
        <v>249</v>
      </c>
      <c r="I26" s="44" t="s">
        <v>318</v>
      </c>
      <c r="J26" s="14">
        <v>1</v>
      </c>
      <c r="K26" s="14">
        <f>J26*5</f>
        <v>5</v>
      </c>
      <c r="L26" s="47" t="s">
        <v>388</v>
      </c>
      <c r="M26" s="15">
        <v>3.56E-2</v>
      </c>
      <c r="N26" s="15">
        <f t="shared" si="2"/>
        <v>0.17799999999999999</v>
      </c>
      <c r="O26" s="14"/>
      <c r="P26" s="19"/>
    </row>
    <row r="27" spans="1:16" x14ac:dyDescent="0.25">
      <c r="A27" s="1"/>
      <c r="B27" s="16">
        <f>ROW(B27) - ROW($B$7)</f>
        <v>20</v>
      </c>
      <c r="C27" s="21" t="s">
        <v>7</v>
      </c>
      <c r="D27" s="14" t="s">
        <v>391</v>
      </c>
      <c r="E27" s="14" t="s">
        <v>394</v>
      </c>
      <c r="F27" s="14" t="s">
        <v>317</v>
      </c>
      <c r="G27" s="14" t="s">
        <v>393</v>
      </c>
      <c r="H27" s="14" t="s">
        <v>250</v>
      </c>
      <c r="I27" s="44" t="s">
        <v>318</v>
      </c>
      <c r="J27" s="14">
        <v>1</v>
      </c>
      <c r="K27" s="14">
        <f>J27*5</f>
        <v>5</v>
      </c>
      <c r="L27" s="47" t="s">
        <v>379</v>
      </c>
      <c r="M27" s="15">
        <v>0.99</v>
      </c>
      <c r="N27" s="15">
        <f t="shared" si="2"/>
        <v>4.95</v>
      </c>
      <c r="O27" s="14"/>
      <c r="P27" s="19"/>
    </row>
    <row r="28" spans="1:16" ht="25.5" x14ac:dyDescent="0.25">
      <c r="A28" s="1"/>
      <c r="B28" s="17">
        <f t="shared" si="0"/>
        <v>21</v>
      </c>
      <c r="C28" s="22" t="s">
        <v>8</v>
      </c>
      <c r="D28" s="20" t="s">
        <v>40</v>
      </c>
      <c r="E28" s="20" t="s">
        <v>105</v>
      </c>
      <c r="F28" s="20" t="s">
        <v>317</v>
      </c>
      <c r="G28" s="20" t="s">
        <v>157</v>
      </c>
      <c r="H28" s="20" t="s">
        <v>250</v>
      </c>
      <c r="I28" s="44" t="s">
        <v>318</v>
      </c>
      <c r="J28" s="20">
        <v>1</v>
      </c>
      <c r="K28" s="20">
        <f t="shared" ref="K28" si="11">J28*5</f>
        <v>5</v>
      </c>
      <c r="L28" s="47" t="s">
        <v>379</v>
      </c>
      <c r="M28" s="15" t="s">
        <v>350</v>
      </c>
      <c r="N28" s="15">
        <f t="shared" si="2"/>
        <v>3.5999999999999996</v>
      </c>
      <c r="O28" s="20"/>
      <c r="P28" s="20"/>
    </row>
    <row r="29" spans="1:16" x14ac:dyDescent="0.25">
      <c r="A29" s="1"/>
      <c r="B29" s="16">
        <f>ROW(B29) - ROW($B$7)</f>
        <v>22</v>
      </c>
      <c r="C29" s="21" t="s">
        <v>9</v>
      </c>
      <c r="D29" s="14" t="s">
        <v>41</v>
      </c>
      <c r="E29" s="14" t="s">
        <v>106</v>
      </c>
      <c r="F29" s="20" t="s">
        <v>317</v>
      </c>
      <c r="G29" s="14" t="s">
        <v>205</v>
      </c>
      <c r="H29" s="14" t="s">
        <v>251</v>
      </c>
      <c r="I29" s="43" t="s">
        <v>288</v>
      </c>
      <c r="J29" s="14">
        <v>2</v>
      </c>
      <c r="K29" s="14">
        <f>J29*5</f>
        <v>10</v>
      </c>
      <c r="L29" s="47" t="s">
        <v>388</v>
      </c>
      <c r="M29" s="51">
        <v>7.6499999999999999E-2</v>
      </c>
      <c r="N29" s="15">
        <f t="shared" si="2"/>
        <v>0.76500000000000001</v>
      </c>
      <c r="O29" s="14"/>
      <c r="P29" s="19"/>
    </row>
    <row r="30" spans="1:16" x14ac:dyDescent="0.25">
      <c r="A30" s="1"/>
      <c r="B30" s="17">
        <f t="shared" si="0"/>
        <v>23</v>
      </c>
      <c r="C30" s="21" t="s">
        <v>9</v>
      </c>
      <c r="D30" s="20" t="s">
        <v>42</v>
      </c>
      <c r="E30" s="20" t="s">
        <v>107</v>
      </c>
      <c r="F30" s="20" t="s">
        <v>158</v>
      </c>
      <c r="G30" s="20" t="s">
        <v>206</v>
      </c>
      <c r="H30" s="20" t="s">
        <v>246</v>
      </c>
      <c r="I30" s="44" t="s">
        <v>319</v>
      </c>
      <c r="J30" s="20">
        <v>4</v>
      </c>
      <c r="K30" s="20">
        <f t="shared" ref="K30" si="12">J30*5</f>
        <v>20</v>
      </c>
      <c r="L30" s="47" t="s">
        <v>379</v>
      </c>
      <c r="M30" s="15" t="s">
        <v>351</v>
      </c>
      <c r="N30" s="15">
        <f t="shared" si="2"/>
        <v>8.2999999999999989</v>
      </c>
      <c r="O30" s="20"/>
      <c r="P30" s="20"/>
    </row>
    <row r="31" spans="1:16" x14ac:dyDescent="0.25">
      <c r="A31" s="1"/>
      <c r="B31" s="16">
        <f>ROW(B31) - ROW($B$7)</f>
        <v>24</v>
      </c>
      <c r="C31" s="21" t="s">
        <v>10</v>
      </c>
      <c r="D31" s="14" t="s">
        <v>43</v>
      </c>
      <c r="E31" s="14" t="s">
        <v>108</v>
      </c>
      <c r="F31" s="14" t="s">
        <v>159</v>
      </c>
      <c r="G31" s="14" t="s">
        <v>207</v>
      </c>
      <c r="H31" s="14" t="s">
        <v>252</v>
      </c>
      <c r="I31" s="43" t="s">
        <v>318</v>
      </c>
      <c r="J31" s="14">
        <v>1</v>
      </c>
      <c r="K31" s="14">
        <f>J31*5</f>
        <v>5</v>
      </c>
      <c r="L31" s="47" t="s">
        <v>379</v>
      </c>
      <c r="M31" s="15" t="s">
        <v>352</v>
      </c>
      <c r="N31" s="15">
        <f t="shared" si="2"/>
        <v>1.75</v>
      </c>
      <c r="O31" s="14"/>
      <c r="P31" s="19"/>
    </row>
    <row r="32" spans="1:16" x14ac:dyDescent="0.25">
      <c r="A32" s="1"/>
      <c r="B32" s="17">
        <f t="shared" si="0"/>
        <v>25</v>
      </c>
      <c r="C32" s="22" t="s">
        <v>10</v>
      </c>
      <c r="D32" s="20" t="s">
        <v>44</v>
      </c>
      <c r="E32" s="20" t="s">
        <v>390</v>
      </c>
      <c r="F32" s="14" t="s">
        <v>159</v>
      </c>
      <c r="G32" s="20" t="s">
        <v>389</v>
      </c>
      <c r="H32" s="14" t="s">
        <v>252</v>
      </c>
      <c r="I32" s="44" t="s">
        <v>318</v>
      </c>
      <c r="J32" s="20">
        <v>1</v>
      </c>
      <c r="K32" s="20">
        <f t="shared" ref="K32" si="13">J32*5</f>
        <v>5</v>
      </c>
      <c r="L32" s="47" t="s">
        <v>379</v>
      </c>
      <c r="M32" s="51">
        <v>0.3</v>
      </c>
      <c r="N32" s="15">
        <f t="shared" si="2"/>
        <v>1.5</v>
      </c>
      <c r="O32" s="20"/>
      <c r="P32" s="20"/>
    </row>
    <row r="33" spans="1:16" ht="36" x14ac:dyDescent="0.25">
      <c r="A33" s="1"/>
      <c r="B33" s="16">
        <f>ROW(B33) - ROW($B$7)</f>
        <v>26</v>
      </c>
      <c r="C33" s="21" t="s">
        <v>11</v>
      </c>
      <c r="D33" s="14" t="s">
        <v>45</v>
      </c>
      <c r="E33" s="14" t="s">
        <v>109</v>
      </c>
      <c r="F33" s="14" t="s">
        <v>160</v>
      </c>
      <c r="G33" s="14" t="s">
        <v>208</v>
      </c>
      <c r="H33" s="14" t="s">
        <v>253</v>
      </c>
      <c r="I33" s="43" t="s">
        <v>318</v>
      </c>
      <c r="J33" s="14">
        <v>1</v>
      </c>
      <c r="K33" s="14">
        <f>J33*5</f>
        <v>5</v>
      </c>
      <c r="L33" s="47" t="s">
        <v>388</v>
      </c>
      <c r="M33" s="51">
        <v>0.1661</v>
      </c>
      <c r="N33" s="15">
        <f t="shared" si="2"/>
        <v>0.83050000000000002</v>
      </c>
      <c r="O33" s="14"/>
      <c r="P33" s="19"/>
    </row>
    <row r="34" spans="1:16" x14ac:dyDescent="0.25">
      <c r="A34" s="1"/>
      <c r="B34" s="17">
        <f t="shared" si="0"/>
        <v>27</v>
      </c>
      <c r="C34" s="22" t="s">
        <v>12</v>
      </c>
      <c r="D34" s="20" t="s">
        <v>46</v>
      </c>
      <c r="E34" s="20" t="s">
        <v>110</v>
      </c>
      <c r="F34" s="20" t="s">
        <v>161</v>
      </c>
      <c r="G34" s="20" t="s">
        <v>209</v>
      </c>
      <c r="H34" s="20" t="s">
        <v>254</v>
      </c>
      <c r="I34" s="43" t="s">
        <v>318</v>
      </c>
      <c r="J34" s="20">
        <v>1</v>
      </c>
      <c r="K34" s="20">
        <f t="shared" ref="K34" si="14">J34*5</f>
        <v>5</v>
      </c>
      <c r="L34" s="47" t="s">
        <v>379</v>
      </c>
      <c r="M34" s="15" t="s">
        <v>353</v>
      </c>
      <c r="N34" s="15">
        <f t="shared" si="2"/>
        <v>0.70000000000000007</v>
      </c>
      <c r="O34" s="20"/>
      <c r="P34" s="20"/>
    </row>
    <row r="35" spans="1:16" x14ac:dyDescent="0.25">
      <c r="A35" s="1"/>
      <c r="B35" s="16">
        <f>ROW(B35) - ROW($B$7)</f>
        <v>28</v>
      </c>
      <c r="C35" s="22" t="s">
        <v>12</v>
      </c>
      <c r="D35" s="14" t="s">
        <v>47</v>
      </c>
      <c r="E35" s="14" t="s">
        <v>111</v>
      </c>
      <c r="F35" s="14" t="s">
        <v>162</v>
      </c>
      <c r="G35" s="14" t="s">
        <v>210</v>
      </c>
      <c r="H35" s="14" t="s">
        <v>255</v>
      </c>
      <c r="I35" s="43" t="s">
        <v>318</v>
      </c>
      <c r="J35" s="14">
        <v>1</v>
      </c>
      <c r="K35" s="14">
        <f>J35*5</f>
        <v>5</v>
      </c>
      <c r="L35" s="47" t="s">
        <v>379</v>
      </c>
      <c r="M35" s="15" t="s">
        <v>354</v>
      </c>
      <c r="N35" s="15">
        <f t="shared" si="2"/>
        <v>5.6499999999999995</v>
      </c>
      <c r="O35" s="14"/>
      <c r="P35" s="19"/>
    </row>
    <row r="36" spans="1:16" ht="48" x14ac:dyDescent="0.25">
      <c r="A36" s="1"/>
      <c r="B36" s="17">
        <f t="shared" si="0"/>
        <v>29</v>
      </c>
      <c r="C36" s="22" t="s">
        <v>12</v>
      </c>
      <c r="D36" s="20" t="s">
        <v>48</v>
      </c>
      <c r="E36" s="20" t="s">
        <v>112</v>
      </c>
      <c r="F36" s="20" t="s">
        <v>163</v>
      </c>
      <c r="G36" s="20" t="s">
        <v>211</v>
      </c>
      <c r="H36" s="20" t="s">
        <v>256</v>
      </c>
      <c r="I36" s="43" t="s">
        <v>318</v>
      </c>
      <c r="J36" s="20">
        <v>1</v>
      </c>
      <c r="K36" s="20">
        <f t="shared" ref="K36" si="15">J36*5</f>
        <v>5</v>
      </c>
      <c r="L36" s="47" t="s">
        <v>388</v>
      </c>
      <c r="M36" s="51">
        <v>3.0800000000000001E-2</v>
      </c>
      <c r="N36" s="15">
        <f t="shared" si="2"/>
        <v>0.154</v>
      </c>
      <c r="O36" s="20"/>
      <c r="P36" s="20"/>
    </row>
    <row r="37" spans="1:16" x14ac:dyDescent="0.25">
      <c r="A37" s="1"/>
      <c r="B37" s="16">
        <f>ROW(B37) - ROW($B$7)</f>
        <v>30</v>
      </c>
      <c r="C37" s="21" t="s">
        <v>13</v>
      </c>
      <c r="D37" s="14" t="s">
        <v>49</v>
      </c>
      <c r="E37" s="14" t="s">
        <v>113</v>
      </c>
      <c r="F37" s="14" t="s">
        <v>164</v>
      </c>
      <c r="G37" s="14" t="s">
        <v>212</v>
      </c>
      <c r="H37" s="14" t="s">
        <v>244</v>
      </c>
      <c r="I37" s="43" t="s">
        <v>289</v>
      </c>
      <c r="J37" s="14">
        <v>3</v>
      </c>
      <c r="K37" s="14">
        <f>J37*5</f>
        <v>15</v>
      </c>
      <c r="L37" s="47" t="s">
        <v>379</v>
      </c>
      <c r="M37" s="15" t="s">
        <v>355</v>
      </c>
      <c r="N37" s="15">
        <f t="shared" si="2"/>
        <v>0.22499999999999998</v>
      </c>
      <c r="O37" s="14"/>
      <c r="P37" s="19"/>
    </row>
    <row r="38" spans="1:16" x14ac:dyDescent="0.25">
      <c r="A38" s="1"/>
      <c r="B38" s="17">
        <f t="shared" si="0"/>
        <v>31</v>
      </c>
      <c r="C38" s="22" t="s">
        <v>13</v>
      </c>
      <c r="D38" s="20" t="s">
        <v>50</v>
      </c>
      <c r="E38" s="20" t="s">
        <v>114</v>
      </c>
      <c r="F38" s="20" t="s">
        <v>164</v>
      </c>
      <c r="G38" s="20" t="s">
        <v>213</v>
      </c>
      <c r="H38" s="20" t="s">
        <v>244</v>
      </c>
      <c r="I38" s="44" t="s">
        <v>290</v>
      </c>
      <c r="J38" s="20">
        <v>1</v>
      </c>
      <c r="K38" s="20">
        <f t="shared" ref="K38" si="16">J38*5</f>
        <v>5</v>
      </c>
      <c r="L38" s="47" t="s">
        <v>379</v>
      </c>
      <c r="M38" s="15" t="s">
        <v>328</v>
      </c>
      <c r="N38" s="15">
        <f t="shared" si="2"/>
        <v>0.5</v>
      </c>
      <c r="O38" s="20"/>
      <c r="P38" s="20"/>
    </row>
    <row r="39" spans="1:16" x14ac:dyDescent="0.25">
      <c r="A39" s="1"/>
      <c r="B39" s="16">
        <f>ROW(B39) - ROW($B$7)</f>
        <v>32</v>
      </c>
      <c r="C39" s="21" t="s">
        <v>13</v>
      </c>
      <c r="D39" s="14" t="s">
        <v>51</v>
      </c>
      <c r="E39" s="14" t="s">
        <v>115</v>
      </c>
      <c r="F39" s="14" t="s">
        <v>165</v>
      </c>
      <c r="G39" s="14" t="s">
        <v>214</v>
      </c>
      <c r="H39" s="14" t="s">
        <v>244</v>
      </c>
      <c r="I39" s="43" t="s">
        <v>291</v>
      </c>
      <c r="J39" s="14">
        <v>5</v>
      </c>
      <c r="K39" s="14">
        <f>J39*5</f>
        <v>25</v>
      </c>
      <c r="L39" s="47" t="s">
        <v>379</v>
      </c>
      <c r="M39" s="15" t="s">
        <v>356</v>
      </c>
      <c r="N39" s="15">
        <f t="shared" si="2"/>
        <v>0.67500000000000004</v>
      </c>
      <c r="O39" s="14"/>
      <c r="P39" s="19"/>
    </row>
    <row r="40" spans="1:16" ht="48" x14ac:dyDescent="0.25">
      <c r="A40" s="1"/>
      <c r="B40" s="17">
        <f t="shared" si="0"/>
        <v>33</v>
      </c>
      <c r="C40" s="22" t="s">
        <v>13</v>
      </c>
      <c r="D40" s="20" t="s">
        <v>52</v>
      </c>
      <c r="E40" s="20" t="s">
        <v>116</v>
      </c>
      <c r="F40" s="20" t="s">
        <v>164</v>
      </c>
      <c r="G40" s="20" t="s">
        <v>215</v>
      </c>
      <c r="H40" s="20" t="s">
        <v>244</v>
      </c>
      <c r="I40" s="44" t="s">
        <v>292</v>
      </c>
      <c r="J40" s="20">
        <v>24</v>
      </c>
      <c r="K40" s="20">
        <f t="shared" ref="K40" si="17">J40*5</f>
        <v>120</v>
      </c>
      <c r="L40" s="47" t="s">
        <v>379</v>
      </c>
      <c r="M40" s="15" t="s">
        <v>357</v>
      </c>
      <c r="N40" s="15">
        <f t="shared" si="2"/>
        <v>0.876</v>
      </c>
      <c r="O40" s="20"/>
      <c r="P40" s="20"/>
    </row>
    <row r="41" spans="1:16" x14ac:dyDescent="0.25">
      <c r="A41" s="1"/>
      <c r="B41" s="16">
        <f>ROW(B41) - ROW($B$7)</f>
        <v>34</v>
      </c>
      <c r="C41" s="21" t="s">
        <v>14</v>
      </c>
      <c r="D41" s="14" t="s">
        <v>53</v>
      </c>
      <c r="E41" s="14" t="s">
        <v>117</v>
      </c>
      <c r="F41" s="14" t="s">
        <v>166</v>
      </c>
      <c r="G41" s="14" t="s">
        <v>216</v>
      </c>
      <c r="H41" s="14" t="s">
        <v>244</v>
      </c>
      <c r="I41" s="43" t="s">
        <v>293</v>
      </c>
      <c r="J41" s="14">
        <v>1</v>
      </c>
      <c r="K41" s="14">
        <f>J41*5</f>
        <v>5</v>
      </c>
      <c r="L41" s="47" t="s">
        <v>379</v>
      </c>
      <c r="M41" s="15" t="s">
        <v>358</v>
      </c>
      <c r="N41" s="15">
        <f t="shared" si="2"/>
        <v>2.9</v>
      </c>
      <c r="O41" s="14"/>
      <c r="P41" s="19"/>
    </row>
    <row r="42" spans="1:16" x14ac:dyDescent="0.25">
      <c r="A42" s="1"/>
      <c r="B42" s="17">
        <f t="shared" si="0"/>
        <v>35</v>
      </c>
      <c r="C42" s="22" t="s">
        <v>13</v>
      </c>
      <c r="D42" s="20" t="s">
        <v>54</v>
      </c>
      <c r="E42" s="20" t="s">
        <v>118</v>
      </c>
      <c r="F42" s="20" t="s">
        <v>167</v>
      </c>
      <c r="G42" s="20" t="s">
        <v>217</v>
      </c>
      <c r="H42" s="20" t="s">
        <v>257</v>
      </c>
      <c r="I42" s="44" t="s">
        <v>294</v>
      </c>
      <c r="J42" s="20">
        <v>1</v>
      </c>
      <c r="K42" s="20">
        <f t="shared" ref="K42" si="18">J42*5</f>
        <v>5</v>
      </c>
      <c r="L42" s="47" t="s">
        <v>379</v>
      </c>
      <c r="M42" s="15" t="s">
        <v>328</v>
      </c>
      <c r="N42" s="15">
        <f t="shared" si="2"/>
        <v>0.5</v>
      </c>
      <c r="O42" s="20"/>
      <c r="P42" s="20"/>
    </row>
    <row r="43" spans="1:16" x14ac:dyDescent="0.25">
      <c r="A43" s="1"/>
      <c r="B43" s="16">
        <f>ROW(B43) - ROW($B$7)</f>
        <v>36</v>
      </c>
      <c r="C43" s="21" t="s">
        <v>13</v>
      </c>
      <c r="D43" s="14" t="s">
        <v>55</v>
      </c>
      <c r="E43" s="14" t="s">
        <v>119</v>
      </c>
      <c r="F43" s="14" t="s">
        <v>167</v>
      </c>
      <c r="G43" s="14" t="s">
        <v>382</v>
      </c>
      <c r="H43" s="20" t="s">
        <v>257</v>
      </c>
      <c r="I43" s="43" t="s">
        <v>295</v>
      </c>
      <c r="J43" s="14">
        <v>1</v>
      </c>
      <c r="K43" s="14">
        <f>J43*5</f>
        <v>5</v>
      </c>
      <c r="L43" s="47" t="s">
        <v>379</v>
      </c>
      <c r="M43" s="15" t="s">
        <v>328</v>
      </c>
      <c r="N43" s="15">
        <f t="shared" si="2"/>
        <v>0.5</v>
      </c>
      <c r="O43" s="14"/>
      <c r="P43" s="19"/>
    </row>
    <row r="44" spans="1:16" x14ac:dyDescent="0.25">
      <c r="A44" s="1"/>
      <c r="B44" s="17">
        <f t="shared" si="0"/>
        <v>37</v>
      </c>
      <c r="C44" s="22" t="s">
        <v>13</v>
      </c>
      <c r="D44" s="20" t="s">
        <v>56</v>
      </c>
      <c r="E44" s="20" t="s">
        <v>120</v>
      </c>
      <c r="F44" s="20" t="s">
        <v>167</v>
      </c>
      <c r="G44" s="20" t="s">
        <v>218</v>
      </c>
      <c r="H44" s="20" t="s">
        <v>244</v>
      </c>
      <c r="I44" s="44" t="s">
        <v>296</v>
      </c>
      <c r="J44" s="20">
        <v>1</v>
      </c>
      <c r="K44" s="20">
        <f t="shared" ref="K44" si="19">J44*5</f>
        <v>5</v>
      </c>
      <c r="L44" s="47" t="s">
        <v>379</v>
      </c>
      <c r="M44" s="15" t="s">
        <v>328</v>
      </c>
      <c r="N44" s="15">
        <f t="shared" si="2"/>
        <v>0.5</v>
      </c>
      <c r="O44" s="20"/>
      <c r="P44" s="20"/>
    </row>
    <row r="45" spans="1:16" x14ac:dyDescent="0.25">
      <c r="A45" s="1"/>
      <c r="B45" s="16">
        <f>ROW(B45) - ROW($B$7)</f>
        <v>38</v>
      </c>
      <c r="C45" s="22" t="s">
        <v>13</v>
      </c>
      <c r="D45" s="14" t="s">
        <v>57</v>
      </c>
      <c r="E45" s="14" t="s">
        <v>121</v>
      </c>
      <c r="F45" s="14" t="s">
        <v>167</v>
      </c>
      <c r="G45" s="14" t="s">
        <v>219</v>
      </c>
      <c r="H45" s="14" t="s">
        <v>244</v>
      </c>
      <c r="I45" s="43" t="s">
        <v>297</v>
      </c>
      <c r="J45" s="14">
        <v>1</v>
      </c>
      <c r="K45" s="14">
        <f>J45*5</f>
        <v>5</v>
      </c>
      <c r="L45" s="47" t="s">
        <v>379</v>
      </c>
      <c r="M45" s="15" t="s">
        <v>355</v>
      </c>
      <c r="N45" s="15">
        <f t="shared" si="2"/>
        <v>7.4999999999999997E-2</v>
      </c>
      <c r="O45" s="14"/>
      <c r="P45" s="19"/>
    </row>
    <row r="46" spans="1:16" x14ac:dyDescent="0.25">
      <c r="A46" s="1"/>
      <c r="B46" s="17">
        <f t="shared" si="0"/>
        <v>39</v>
      </c>
      <c r="C46" s="22" t="s">
        <v>13</v>
      </c>
      <c r="D46" s="20" t="s">
        <v>58</v>
      </c>
      <c r="E46" s="20" t="s">
        <v>122</v>
      </c>
      <c r="F46" s="20" t="s">
        <v>164</v>
      </c>
      <c r="G46" s="20" t="s">
        <v>220</v>
      </c>
      <c r="H46" s="20" t="s">
        <v>244</v>
      </c>
      <c r="I46" s="44" t="s">
        <v>298</v>
      </c>
      <c r="J46" s="20">
        <v>4</v>
      </c>
      <c r="K46" s="20">
        <f t="shared" ref="K46" si="20">J46*5</f>
        <v>20</v>
      </c>
      <c r="L46" s="47" t="s">
        <v>379</v>
      </c>
      <c r="M46" s="15" t="s">
        <v>359</v>
      </c>
      <c r="N46" s="15">
        <f t="shared" si="2"/>
        <v>0.72</v>
      </c>
      <c r="O46" s="20"/>
      <c r="P46" s="20"/>
    </row>
    <row r="47" spans="1:16" x14ac:dyDescent="0.25">
      <c r="A47" s="1"/>
      <c r="B47" s="16">
        <f>ROW(B47) - ROW($B$7)</f>
        <v>40</v>
      </c>
      <c r="C47" s="21" t="s">
        <v>14</v>
      </c>
      <c r="D47" s="14" t="s">
        <v>59</v>
      </c>
      <c r="E47" s="14" t="s">
        <v>123</v>
      </c>
      <c r="F47" s="14" t="s">
        <v>164</v>
      </c>
      <c r="G47" s="14" t="s">
        <v>221</v>
      </c>
      <c r="H47" s="14" t="s">
        <v>258</v>
      </c>
      <c r="I47" s="43" t="s">
        <v>299</v>
      </c>
      <c r="J47" s="14">
        <v>4</v>
      </c>
      <c r="K47" s="14">
        <f>J47*5</f>
        <v>20</v>
      </c>
      <c r="L47" s="47" t="s">
        <v>379</v>
      </c>
      <c r="M47" s="15" t="s">
        <v>328</v>
      </c>
      <c r="N47" s="15">
        <f t="shared" si="2"/>
        <v>2</v>
      </c>
      <c r="O47" s="14"/>
      <c r="P47" s="19"/>
    </row>
    <row r="48" spans="1:16" x14ac:dyDescent="0.25">
      <c r="A48" s="1"/>
      <c r="B48" s="17">
        <f t="shared" si="0"/>
        <v>41</v>
      </c>
      <c r="C48" s="21" t="s">
        <v>14</v>
      </c>
      <c r="D48" s="20" t="s">
        <v>60</v>
      </c>
      <c r="E48" s="20" t="s">
        <v>124</v>
      </c>
      <c r="F48" s="20" t="s">
        <v>164</v>
      </c>
      <c r="G48" s="20" t="s">
        <v>222</v>
      </c>
      <c r="H48" s="20" t="s">
        <v>244</v>
      </c>
      <c r="I48" s="44" t="s">
        <v>300</v>
      </c>
      <c r="J48" s="20">
        <v>1</v>
      </c>
      <c r="K48" s="20">
        <f t="shared" ref="K48" si="21">J48*5</f>
        <v>5</v>
      </c>
      <c r="L48" s="47" t="s">
        <v>379</v>
      </c>
      <c r="M48" s="15" t="s">
        <v>387</v>
      </c>
      <c r="N48" s="15">
        <f t="shared" si="2"/>
        <v>0.50004999999999999</v>
      </c>
      <c r="O48" s="20"/>
      <c r="P48" s="20"/>
    </row>
    <row r="49" spans="1:16" ht="36" x14ac:dyDescent="0.25">
      <c r="A49" s="1"/>
      <c r="B49" s="16">
        <f>ROW(B49) - ROW($B$7)</f>
        <v>42</v>
      </c>
      <c r="C49" s="21" t="s">
        <v>13</v>
      </c>
      <c r="D49" s="14" t="s">
        <v>61</v>
      </c>
      <c r="E49" s="14" t="s">
        <v>125</v>
      </c>
      <c r="F49" s="14" t="s">
        <v>165</v>
      </c>
      <c r="G49" s="14" t="s">
        <v>223</v>
      </c>
      <c r="H49" s="14" t="s">
        <v>259</v>
      </c>
      <c r="I49" s="43" t="s">
        <v>301</v>
      </c>
      <c r="J49" s="14">
        <v>2</v>
      </c>
      <c r="K49" s="14">
        <f>J49*5</f>
        <v>10</v>
      </c>
      <c r="L49" s="47" t="s">
        <v>388</v>
      </c>
      <c r="M49" s="51">
        <v>8.9999999999999998E-4</v>
      </c>
      <c r="N49" s="15">
        <f t="shared" si="2"/>
        <v>8.9999999999999993E-3</v>
      </c>
      <c r="O49" s="14"/>
      <c r="P49" s="19"/>
    </row>
    <row r="50" spans="1:16" ht="24" x14ac:dyDescent="0.25">
      <c r="A50" s="1"/>
      <c r="B50" s="17">
        <f t="shared" si="0"/>
        <v>43</v>
      </c>
      <c r="C50" s="22" t="s">
        <v>13</v>
      </c>
      <c r="D50" s="20" t="s">
        <v>62</v>
      </c>
      <c r="E50" s="20" t="s">
        <v>126</v>
      </c>
      <c r="F50" s="20" t="s">
        <v>167</v>
      </c>
      <c r="G50" s="20" t="s">
        <v>224</v>
      </c>
      <c r="H50" s="20" t="s">
        <v>260</v>
      </c>
      <c r="I50" s="44" t="s">
        <v>302</v>
      </c>
      <c r="J50" s="20">
        <v>3</v>
      </c>
      <c r="K50" s="20">
        <f t="shared" ref="K50" si="22">J50*5</f>
        <v>15</v>
      </c>
      <c r="L50" s="47" t="s">
        <v>388</v>
      </c>
      <c r="M50" s="51">
        <v>4.1999999999999997E-3</v>
      </c>
      <c r="N50" s="15">
        <f t="shared" si="2"/>
        <v>6.3E-2</v>
      </c>
      <c r="O50" s="20"/>
      <c r="P50" s="20"/>
    </row>
    <row r="51" spans="1:16" x14ac:dyDescent="0.25">
      <c r="A51" s="1"/>
      <c r="B51" s="16">
        <f>ROW(B51) - ROW($B$7)</f>
        <v>44</v>
      </c>
      <c r="C51" s="21" t="s">
        <v>13</v>
      </c>
      <c r="D51" s="14" t="s">
        <v>63</v>
      </c>
      <c r="E51" s="14" t="s">
        <v>127</v>
      </c>
      <c r="F51" s="14" t="s">
        <v>168</v>
      </c>
      <c r="G51" s="14" t="s">
        <v>225</v>
      </c>
      <c r="H51" s="14" t="s">
        <v>244</v>
      </c>
      <c r="I51" s="43" t="s">
        <v>303</v>
      </c>
      <c r="J51" s="14">
        <v>2</v>
      </c>
      <c r="K51" s="14">
        <f>J51*5</f>
        <v>10</v>
      </c>
      <c r="L51" s="47" t="s">
        <v>379</v>
      </c>
      <c r="M51" s="15" t="s">
        <v>360</v>
      </c>
      <c r="N51" s="15">
        <f t="shared" si="2"/>
        <v>1.2</v>
      </c>
      <c r="O51" s="14"/>
      <c r="P51" s="19"/>
    </row>
    <row r="52" spans="1:16" x14ac:dyDescent="0.25">
      <c r="A52" s="1"/>
      <c r="B52" s="17">
        <f t="shared" si="0"/>
        <v>45</v>
      </c>
      <c r="C52" s="22" t="s">
        <v>13</v>
      </c>
      <c r="D52" s="20" t="s">
        <v>64</v>
      </c>
      <c r="E52" s="20" t="s">
        <v>128</v>
      </c>
      <c r="F52" s="20" t="s">
        <v>164</v>
      </c>
      <c r="G52" s="20" t="s">
        <v>226</v>
      </c>
      <c r="H52" s="20" t="s">
        <v>261</v>
      </c>
      <c r="I52" s="44" t="s">
        <v>304</v>
      </c>
      <c r="J52" s="20">
        <v>2</v>
      </c>
      <c r="K52" s="20">
        <f t="shared" ref="K52" si="23">J52*5</f>
        <v>10</v>
      </c>
      <c r="L52" s="47" t="s">
        <v>379</v>
      </c>
      <c r="M52" s="15" t="s">
        <v>361</v>
      </c>
      <c r="N52" s="15">
        <f t="shared" si="2"/>
        <v>0.86749999999999994</v>
      </c>
      <c r="O52" s="20"/>
      <c r="P52" s="20"/>
    </row>
    <row r="53" spans="1:16" x14ac:dyDescent="0.25">
      <c r="A53" s="1"/>
      <c r="B53" s="16">
        <f>ROW(B53) - ROW($B$7)</f>
        <v>46</v>
      </c>
      <c r="C53" s="21" t="s">
        <v>13</v>
      </c>
      <c r="D53" s="14" t="s">
        <v>65</v>
      </c>
      <c r="E53" s="14" t="s">
        <v>129</v>
      </c>
      <c r="F53" s="14" t="s">
        <v>164</v>
      </c>
      <c r="G53" s="14" t="s">
        <v>227</v>
      </c>
      <c r="H53" s="14" t="s">
        <v>261</v>
      </c>
      <c r="I53" s="43" t="s">
        <v>305</v>
      </c>
      <c r="J53" s="14">
        <v>1</v>
      </c>
      <c r="K53" s="14">
        <f>J53*5</f>
        <v>5</v>
      </c>
      <c r="L53" s="47" t="s">
        <v>379</v>
      </c>
      <c r="M53" s="15" t="s">
        <v>361</v>
      </c>
      <c r="N53" s="15">
        <f t="shared" si="2"/>
        <v>0.43374999999999997</v>
      </c>
      <c r="O53" s="14"/>
      <c r="P53" s="19"/>
    </row>
    <row r="54" spans="1:16" x14ac:dyDescent="0.25">
      <c r="A54" s="1"/>
      <c r="B54" s="17">
        <f t="shared" si="0"/>
        <v>47</v>
      </c>
      <c r="C54" s="22" t="s">
        <v>15</v>
      </c>
      <c r="D54" s="20" t="s">
        <v>66</v>
      </c>
      <c r="E54" s="20" t="s">
        <v>130</v>
      </c>
      <c r="F54" s="20" t="s">
        <v>317</v>
      </c>
      <c r="G54" s="20" t="s">
        <v>228</v>
      </c>
      <c r="H54" s="20" t="s">
        <v>262</v>
      </c>
      <c r="I54" s="44" t="s">
        <v>318</v>
      </c>
      <c r="J54" s="20">
        <v>1</v>
      </c>
      <c r="K54" s="20">
        <f t="shared" ref="K54" si="24">J54*5</f>
        <v>5</v>
      </c>
      <c r="L54" s="47" t="s">
        <v>379</v>
      </c>
      <c r="M54" s="15" t="s">
        <v>334</v>
      </c>
      <c r="N54" s="15">
        <f t="shared" si="2"/>
        <v>1.45</v>
      </c>
      <c r="O54" s="20"/>
      <c r="P54" s="20"/>
    </row>
    <row r="55" spans="1:16" x14ac:dyDescent="0.25">
      <c r="A55" s="1"/>
      <c r="B55" s="16">
        <f>ROW(B55) - ROW($B$7)</f>
        <v>48</v>
      </c>
      <c r="C55" s="21" t="s">
        <v>16</v>
      </c>
      <c r="D55" s="14" t="s">
        <v>67</v>
      </c>
      <c r="E55" s="14" t="s">
        <v>130</v>
      </c>
      <c r="F55" s="20" t="s">
        <v>317</v>
      </c>
      <c r="G55" s="14" t="s">
        <v>169</v>
      </c>
      <c r="H55" s="14" t="s">
        <v>263</v>
      </c>
      <c r="I55" s="44" t="s">
        <v>318</v>
      </c>
      <c r="J55" s="14">
        <v>2</v>
      </c>
      <c r="K55" s="14">
        <f>J55*5</f>
        <v>10</v>
      </c>
      <c r="L55" s="47" t="s">
        <v>379</v>
      </c>
      <c r="M55" s="15" t="s">
        <v>362</v>
      </c>
      <c r="N55" s="15">
        <f t="shared" si="2"/>
        <v>9.83</v>
      </c>
      <c r="O55" s="14"/>
      <c r="P55" s="19"/>
    </row>
    <row r="56" spans="1:16" ht="36" x14ac:dyDescent="0.25">
      <c r="A56" s="1"/>
      <c r="B56" s="17">
        <f t="shared" si="0"/>
        <v>49</v>
      </c>
      <c r="C56" s="22" t="s">
        <v>16</v>
      </c>
      <c r="D56" s="20" t="s">
        <v>68</v>
      </c>
      <c r="E56" s="20" t="s">
        <v>131</v>
      </c>
      <c r="F56" s="20" t="s">
        <v>317</v>
      </c>
      <c r="G56" s="20" t="s">
        <v>170</v>
      </c>
      <c r="H56" s="20" t="s">
        <v>264</v>
      </c>
      <c r="I56" s="44" t="s">
        <v>318</v>
      </c>
      <c r="J56" s="20">
        <v>3</v>
      </c>
      <c r="K56" s="20">
        <f t="shared" ref="K56" si="25">J56*5</f>
        <v>15</v>
      </c>
      <c r="L56" s="47" t="s">
        <v>388</v>
      </c>
      <c r="M56" s="51">
        <v>0.36980000000000002</v>
      </c>
      <c r="N56" s="15">
        <f t="shared" si="2"/>
        <v>5.5470000000000006</v>
      </c>
      <c r="O56" s="20"/>
      <c r="P56" s="20"/>
    </row>
    <row r="57" spans="1:16" x14ac:dyDescent="0.25">
      <c r="A57" s="1"/>
      <c r="B57" s="16">
        <f>ROW(B57) - ROW($B$7)</f>
        <v>50</v>
      </c>
      <c r="C57" s="21" t="s">
        <v>17</v>
      </c>
      <c r="D57" s="14" t="s">
        <v>69</v>
      </c>
      <c r="E57" s="14" t="s">
        <v>132</v>
      </c>
      <c r="F57" s="20" t="s">
        <v>317</v>
      </c>
      <c r="G57" s="14" t="s">
        <v>171</v>
      </c>
      <c r="H57" s="14" t="s">
        <v>265</v>
      </c>
      <c r="I57" s="44" t="s">
        <v>318</v>
      </c>
      <c r="J57" s="14">
        <v>1</v>
      </c>
      <c r="K57" s="14">
        <f>J57*5</f>
        <v>5</v>
      </c>
      <c r="L57" s="47" t="s">
        <v>379</v>
      </c>
      <c r="M57" s="15" t="s">
        <v>363</v>
      </c>
      <c r="N57" s="15">
        <f t="shared" si="2"/>
        <v>8.35</v>
      </c>
      <c r="O57" s="14"/>
      <c r="P57" s="19"/>
    </row>
    <row r="58" spans="1:16" x14ac:dyDescent="0.25">
      <c r="A58" s="1"/>
      <c r="B58" s="17">
        <f t="shared" si="0"/>
        <v>51</v>
      </c>
      <c r="C58" s="22" t="s">
        <v>18</v>
      </c>
      <c r="D58" s="20" t="s">
        <v>70</v>
      </c>
      <c r="E58" s="20" t="s">
        <v>133</v>
      </c>
      <c r="F58" s="20" t="s">
        <v>172</v>
      </c>
      <c r="G58" s="20" t="s">
        <v>229</v>
      </c>
      <c r="H58" s="20" t="s">
        <v>266</v>
      </c>
      <c r="I58" s="44" t="s">
        <v>318</v>
      </c>
      <c r="J58" s="20">
        <v>1</v>
      </c>
      <c r="K58" s="20">
        <f t="shared" ref="K58" si="26">J58*5</f>
        <v>5</v>
      </c>
      <c r="L58" s="47" t="s">
        <v>379</v>
      </c>
      <c r="M58" s="15" t="s">
        <v>364</v>
      </c>
      <c r="N58" s="15">
        <f t="shared" si="2"/>
        <v>6.75</v>
      </c>
      <c r="O58" s="20"/>
      <c r="P58" s="20"/>
    </row>
    <row r="59" spans="1:16" x14ac:dyDescent="0.25">
      <c r="A59" s="1"/>
      <c r="B59" s="16">
        <f>ROW(B59) - ROW($B$7)</f>
        <v>52</v>
      </c>
      <c r="C59" s="21" t="s">
        <v>18</v>
      </c>
      <c r="D59" s="14" t="s">
        <v>71</v>
      </c>
      <c r="E59" s="14" t="s">
        <v>134</v>
      </c>
      <c r="F59" s="14" t="s">
        <v>173</v>
      </c>
      <c r="G59" s="14" t="s">
        <v>230</v>
      </c>
      <c r="H59" s="14" t="s">
        <v>267</v>
      </c>
      <c r="I59" s="44" t="s">
        <v>318</v>
      </c>
      <c r="J59" s="14">
        <v>1</v>
      </c>
      <c r="K59" s="14">
        <f>J59*5</f>
        <v>5</v>
      </c>
      <c r="L59" s="47" t="s">
        <v>379</v>
      </c>
      <c r="M59" s="15" t="s">
        <v>365</v>
      </c>
      <c r="N59" s="15">
        <f t="shared" si="2"/>
        <v>15.25</v>
      </c>
      <c r="O59" s="14"/>
      <c r="P59" s="19"/>
    </row>
    <row r="60" spans="1:16" x14ac:dyDescent="0.25">
      <c r="A60" s="1"/>
      <c r="B60" s="17">
        <f t="shared" si="0"/>
        <v>53</v>
      </c>
      <c r="C60" s="22" t="s">
        <v>18</v>
      </c>
      <c r="D60" s="20" t="s">
        <v>72</v>
      </c>
      <c r="E60" s="20" t="s">
        <v>135</v>
      </c>
      <c r="F60" s="20" t="s">
        <v>174</v>
      </c>
      <c r="G60" s="20" t="s">
        <v>231</v>
      </c>
      <c r="H60" s="20" t="s">
        <v>266</v>
      </c>
      <c r="I60" s="44" t="s">
        <v>318</v>
      </c>
      <c r="J60" s="20">
        <v>1</v>
      </c>
      <c r="K60" s="20">
        <f t="shared" ref="K60" si="27">J60*5</f>
        <v>5</v>
      </c>
      <c r="L60" s="47" t="s">
        <v>379</v>
      </c>
      <c r="M60" s="15" t="s">
        <v>366</v>
      </c>
      <c r="N60" s="15">
        <f t="shared" si="2"/>
        <v>10.9</v>
      </c>
      <c r="O60" s="20"/>
      <c r="P60" s="20"/>
    </row>
    <row r="61" spans="1:16" x14ac:dyDescent="0.25">
      <c r="A61" s="1"/>
      <c r="B61" s="16">
        <f>ROW(B61) - ROW($B$7)</f>
        <v>54</v>
      </c>
      <c r="C61" s="21" t="s">
        <v>18</v>
      </c>
      <c r="D61" s="14" t="s">
        <v>73</v>
      </c>
      <c r="E61" s="14" t="s">
        <v>136</v>
      </c>
      <c r="F61" s="14" t="s">
        <v>175</v>
      </c>
      <c r="G61" s="14" t="s">
        <v>232</v>
      </c>
      <c r="H61" s="14" t="s">
        <v>266</v>
      </c>
      <c r="I61" s="44" t="s">
        <v>318</v>
      </c>
      <c r="J61" s="14">
        <v>1</v>
      </c>
      <c r="K61" s="14">
        <f>J61*5</f>
        <v>5</v>
      </c>
      <c r="L61" s="47" t="s">
        <v>379</v>
      </c>
      <c r="M61" s="15" t="s">
        <v>367</v>
      </c>
      <c r="N61" s="15">
        <f t="shared" si="2"/>
        <v>13.700000000000001</v>
      </c>
      <c r="O61" s="14"/>
      <c r="P61" s="19"/>
    </row>
    <row r="62" spans="1:16" x14ac:dyDescent="0.25">
      <c r="A62" s="1"/>
      <c r="B62" s="17">
        <f t="shared" si="0"/>
        <v>55</v>
      </c>
      <c r="C62" s="21" t="s">
        <v>18</v>
      </c>
      <c r="D62" s="20" t="s">
        <v>74</v>
      </c>
      <c r="E62" s="20" t="s">
        <v>137</v>
      </c>
      <c r="F62" s="20" t="s">
        <v>176</v>
      </c>
      <c r="G62" s="20" t="s">
        <v>233</v>
      </c>
      <c r="H62" s="20" t="s">
        <v>266</v>
      </c>
      <c r="I62" s="44" t="s">
        <v>318</v>
      </c>
      <c r="J62" s="20">
        <v>1</v>
      </c>
      <c r="K62" s="20">
        <f t="shared" ref="K62" si="28">J62*5</f>
        <v>5</v>
      </c>
      <c r="L62" s="47" t="s">
        <v>379</v>
      </c>
      <c r="M62" s="15" t="s">
        <v>368</v>
      </c>
      <c r="N62" s="15">
        <f t="shared" si="2"/>
        <v>6.05</v>
      </c>
      <c r="O62" s="20"/>
      <c r="P62" s="20"/>
    </row>
    <row r="63" spans="1:16" ht="24" x14ac:dyDescent="0.25">
      <c r="A63" s="1"/>
      <c r="B63" s="16">
        <f>ROW(B63) - ROW($B$7)</f>
        <v>56</v>
      </c>
      <c r="C63" s="21" t="s">
        <v>18</v>
      </c>
      <c r="D63" s="14" t="s">
        <v>75</v>
      </c>
      <c r="E63" s="14" t="s">
        <v>138</v>
      </c>
      <c r="F63" s="14" t="s">
        <v>177</v>
      </c>
      <c r="G63" s="14" t="s">
        <v>234</v>
      </c>
      <c r="H63" s="14" t="s">
        <v>268</v>
      </c>
      <c r="I63" s="44" t="s">
        <v>318</v>
      </c>
      <c r="J63" s="14">
        <v>1</v>
      </c>
      <c r="K63" s="14">
        <f>J63*5</f>
        <v>5</v>
      </c>
      <c r="L63" s="47" t="s">
        <v>379</v>
      </c>
      <c r="M63" s="15" t="s">
        <v>369</v>
      </c>
      <c r="N63" s="15">
        <f t="shared" si="2"/>
        <v>3.05</v>
      </c>
      <c r="O63" s="14"/>
      <c r="P63" s="19"/>
    </row>
    <row r="64" spans="1:16" x14ac:dyDescent="0.25">
      <c r="A64" s="1"/>
      <c r="B64" s="17">
        <f t="shared" si="0"/>
        <v>57</v>
      </c>
      <c r="C64" s="22" t="s">
        <v>18</v>
      </c>
      <c r="D64" s="20" t="s">
        <v>76</v>
      </c>
      <c r="E64" s="20" t="s">
        <v>139</v>
      </c>
      <c r="F64" s="20" t="s">
        <v>178</v>
      </c>
      <c r="G64" s="20" t="s">
        <v>235</v>
      </c>
      <c r="H64" s="20" t="s">
        <v>269</v>
      </c>
      <c r="I64" s="44" t="s">
        <v>318</v>
      </c>
      <c r="J64" s="20">
        <v>1</v>
      </c>
      <c r="K64" s="20">
        <f t="shared" ref="K64" si="29">J64*5</f>
        <v>5</v>
      </c>
      <c r="L64" s="47" t="s">
        <v>379</v>
      </c>
      <c r="M64" s="15" t="s">
        <v>370</v>
      </c>
      <c r="N64" s="15">
        <f t="shared" si="2"/>
        <v>2.0499999999999998</v>
      </c>
      <c r="O64" s="20"/>
      <c r="P64" s="20"/>
    </row>
    <row r="65" spans="1:16" x14ac:dyDescent="0.25">
      <c r="A65" s="1"/>
      <c r="B65" s="16">
        <f>ROW(B65) - ROW($B$7)</f>
        <v>58</v>
      </c>
      <c r="C65" s="21" t="s">
        <v>18</v>
      </c>
      <c r="D65" s="14" t="s">
        <v>77</v>
      </c>
      <c r="E65" s="14" t="s">
        <v>140</v>
      </c>
      <c r="F65" s="14" t="s">
        <v>178</v>
      </c>
      <c r="G65" s="14" t="s">
        <v>236</v>
      </c>
      <c r="H65" s="14" t="s">
        <v>269</v>
      </c>
      <c r="I65" s="44" t="s">
        <v>318</v>
      </c>
      <c r="J65" s="14">
        <v>1</v>
      </c>
      <c r="K65" s="14">
        <f>J65*5</f>
        <v>5</v>
      </c>
      <c r="L65" s="47" t="s">
        <v>379</v>
      </c>
      <c r="M65" s="15" t="s">
        <v>371</v>
      </c>
      <c r="N65" s="15">
        <f t="shared" si="2"/>
        <v>2</v>
      </c>
      <c r="O65" s="14"/>
      <c r="P65" s="19"/>
    </row>
    <row r="66" spans="1:16" x14ac:dyDescent="0.25">
      <c r="A66" s="1"/>
      <c r="B66" s="17">
        <f t="shared" si="0"/>
        <v>59</v>
      </c>
      <c r="C66" s="22" t="s">
        <v>18</v>
      </c>
      <c r="D66" s="20" t="s">
        <v>78</v>
      </c>
      <c r="E66" s="20" t="s">
        <v>141</v>
      </c>
      <c r="F66" s="20" t="s">
        <v>179</v>
      </c>
      <c r="G66" s="20" t="s">
        <v>237</v>
      </c>
      <c r="H66" s="20" t="s">
        <v>266</v>
      </c>
      <c r="I66" s="44" t="s">
        <v>318</v>
      </c>
      <c r="J66" s="20">
        <v>1</v>
      </c>
      <c r="K66" s="20">
        <f t="shared" ref="K66" si="30">J66*5</f>
        <v>5</v>
      </c>
      <c r="L66" s="47" t="s">
        <v>379</v>
      </c>
      <c r="M66" s="15" t="s">
        <v>372</v>
      </c>
      <c r="N66" s="15">
        <f t="shared" si="2"/>
        <v>31.05</v>
      </c>
      <c r="O66" s="20"/>
      <c r="P66" s="20"/>
    </row>
    <row r="67" spans="1:16" ht="36" x14ac:dyDescent="0.25">
      <c r="A67" s="1"/>
      <c r="B67" s="16">
        <f>ROW(B67) - ROW($B$7)</f>
        <v>60</v>
      </c>
      <c r="C67" s="21" t="s">
        <v>18</v>
      </c>
      <c r="D67" s="14" t="s">
        <v>79</v>
      </c>
      <c r="E67" s="14" t="s">
        <v>320</v>
      </c>
      <c r="F67" s="14" t="s">
        <v>180</v>
      </c>
      <c r="G67" s="14" t="s">
        <v>238</v>
      </c>
      <c r="H67" s="14" t="s">
        <v>266</v>
      </c>
      <c r="I67" s="44" t="s">
        <v>318</v>
      </c>
      <c r="J67" s="14">
        <v>1</v>
      </c>
      <c r="K67" s="14">
        <f>J67*5</f>
        <v>5</v>
      </c>
      <c r="L67" s="47" t="s">
        <v>379</v>
      </c>
      <c r="M67" s="15" t="s">
        <v>373</v>
      </c>
      <c r="N67" s="15">
        <f t="shared" si="2"/>
        <v>189.94565</v>
      </c>
      <c r="O67" s="14"/>
      <c r="P67" s="19"/>
    </row>
    <row r="68" spans="1:16" x14ac:dyDescent="0.25">
      <c r="A68" s="1"/>
      <c r="B68" s="17">
        <f t="shared" si="0"/>
        <v>61</v>
      </c>
      <c r="C68" s="22" t="s">
        <v>18</v>
      </c>
      <c r="D68" s="20" t="s">
        <v>80</v>
      </c>
      <c r="E68" s="20" t="s">
        <v>142</v>
      </c>
      <c r="F68" s="20" t="s">
        <v>181</v>
      </c>
      <c r="G68" s="20" t="s">
        <v>239</v>
      </c>
      <c r="H68" s="20" t="s">
        <v>270</v>
      </c>
      <c r="I68" s="44" t="s">
        <v>318</v>
      </c>
      <c r="J68" s="20">
        <v>1</v>
      </c>
      <c r="K68" s="20">
        <f t="shared" ref="K68" si="31">J68*5</f>
        <v>5</v>
      </c>
      <c r="L68" s="47" t="s">
        <v>379</v>
      </c>
      <c r="M68" s="15" t="s">
        <v>374</v>
      </c>
      <c r="N68" s="15">
        <f t="shared" si="2"/>
        <v>5.6000000000000005</v>
      </c>
      <c r="O68" s="20"/>
      <c r="P68" s="20"/>
    </row>
    <row r="69" spans="1:16" x14ac:dyDescent="0.25">
      <c r="A69" s="1"/>
      <c r="B69" s="16">
        <f>ROW(B69) - ROW($B$7)</f>
        <v>62</v>
      </c>
      <c r="C69" s="21" t="s">
        <v>18</v>
      </c>
      <c r="D69" s="14" t="s">
        <v>81</v>
      </c>
      <c r="E69" s="14" t="s">
        <v>143</v>
      </c>
      <c r="F69" s="14" t="s">
        <v>182</v>
      </c>
      <c r="G69" s="14" t="s">
        <v>240</v>
      </c>
      <c r="H69" s="14" t="s">
        <v>271</v>
      </c>
      <c r="I69" s="44" t="s">
        <v>318</v>
      </c>
      <c r="J69" s="14">
        <v>1</v>
      </c>
      <c r="K69" s="14">
        <f>J69*5</f>
        <v>5</v>
      </c>
      <c r="L69" s="47" t="s">
        <v>379</v>
      </c>
      <c r="M69" s="15" t="s">
        <v>375</v>
      </c>
      <c r="N69" s="15">
        <f t="shared" si="2"/>
        <v>30.950000000000003</v>
      </c>
      <c r="O69" s="14"/>
      <c r="P69" s="19"/>
    </row>
    <row r="70" spans="1:16" x14ac:dyDescent="0.25">
      <c r="A70" s="1"/>
      <c r="B70" s="17">
        <f t="shared" si="0"/>
        <v>63</v>
      </c>
      <c r="C70" s="22" t="s">
        <v>19</v>
      </c>
      <c r="D70" s="20" t="s">
        <v>82</v>
      </c>
      <c r="E70" s="20" t="s">
        <v>144</v>
      </c>
      <c r="F70" s="20" t="s">
        <v>183</v>
      </c>
      <c r="G70" s="20" t="s">
        <v>241</v>
      </c>
      <c r="H70" s="20" t="s">
        <v>254</v>
      </c>
      <c r="I70" s="44" t="s">
        <v>306</v>
      </c>
      <c r="J70" s="20">
        <v>1</v>
      </c>
      <c r="K70" s="20">
        <f t="shared" ref="K70" si="32">J70*5</f>
        <v>5</v>
      </c>
      <c r="L70" s="47" t="s">
        <v>379</v>
      </c>
      <c r="M70" s="15" t="s">
        <v>376</v>
      </c>
      <c r="N70" s="15">
        <f t="shared" si="2"/>
        <v>3.8</v>
      </c>
      <c r="O70" s="20"/>
      <c r="P70" s="20"/>
    </row>
    <row r="71" spans="1:16" x14ac:dyDescent="0.25">
      <c r="A71" s="1"/>
      <c r="B71" s="16">
        <f>ROW(B71) - ROW($B$7)</f>
        <v>64</v>
      </c>
      <c r="C71" s="21" t="s">
        <v>20</v>
      </c>
      <c r="D71" s="14" t="s">
        <v>83</v>
      </c>
      <c r="E71" s="14" t="s">
        <v>145</v>
      </c>
      <c r="F71" s="20" t="s">
        <v>317</v>
      </c>
      <c r="G71" s="14" t="s">
        <v>184</v>
      </c>
      <c r="H71" s="14" t="s">
        <v>272</v>
      </c>
      <c r="I71" s="43" t="s">
        <v>307</v>
      </c>
      <c r="J71" s="14">
        <v>1</v>
      </c>
      <c r="K71" s="14">
        <f>J71*5</f>
        <v>5</v>
      </c>
      <c r="L71" s="47" t="s">
        <v>379</v>
      </c>
      <c r="M71" s="15" t="s">
        <v>377</v>
      </c>
      <c r="N71" s="15">
        <f t="shared" si="2"/>
        <v>2.3000000000000003</v>
      </c>
      <c r="O71" s="14"/>
      <c r="P71" s="19"/>
    </row>
    <row r="72" spans="1:16" ht="15.75" thickBot="1" x14ac:dyDescent="0.3">
      <c r="A72" s="1"/>
      <c r="B72" s="46">
        <f t="shared" si="0"/>
        <v>65</v>
      </c>
      <c r="C72" s="40" t="s">
        <v>20</v>
      </c>
      <c r="D72" s="41" t="s">
        <v>84</v>
      </c>
      <c r="E72" s="41" t="s">
        <v>146</v>
      </c>
      <c r="F72" s="41" t="s">
        <v>185</v>
      </c>
      <c r="G72" s="41" t="s">
        <v>242</v>
      </c>
      <c r="H72" s="41" t="s">
        <v>272</v>
      </c>
      <c r="I72" s="45" t="s">
        <v>308</v>
      </c>
      <c r="J72" s="41">
        <v>1</v>
      </c>
      <c r="K72" s="41">
        <f t="shared" ref="K72" si="33">J72*5</f>
        <v>5</v>
      </c>
      <c r="L72" s="52" t="s">
        <v>379</v>
      </c>
      <c r="M72" s="15" t="s">
        <v>378</v>
      </c>
      <c r="N72" s="55">
        <f t="shared" si="2"/>
        <v>3.15</v>
      </c>
      <c r="O72" s="41"/>
      <c r="P72" s="41"/>
    </row>
    <row r="73" spans="1:16" ht="19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8" t="s">
        <v>385</v>
      </c>
      <c r="M73" s="59"/>
      <c r="N73" s="54">
        <f>SUM(N8:N72)</f>
        <v>490.59294999999997</v>
      </c>
      <c r="O73" s="1"/>
      <c r="P73" s="1"/>
    </row>
    <row r="74" spans="1:16" ht="19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8" t="s">
        <v>386</v>
      </c>
      <c r="M74" s="59"/>
      <c r="N74" s="18">
        <f>N73/5</f>
        <v>98.118589999999998</v>
      </c>
      <c r="O74" s="1"/>
      <c r="P74" s="1"/>
    </row>
    <row r="86" spans="11:11" x14ac:dyDescent="0.25">
      <c r="K86" s="36"/>
    </row>
  </sheetData>
  <mergeCells count="4">
    <mergeCell ref="I1:P1"/>
    <mergeCell ref="L73:M73"/>
    <mergeCell ref="L74:M74"/>
    <mergeCell ref="P2:P6"/>
  </mergeCells>
  <hyperlinks>
    <hyperlink ref="L8" r:id="rId1"/>
    <hyperlink ref="L9" r:id="rId2"/>
    <hyperlink ref="L10" r:id="rId3"/>
    <hyperlink ref="L11" r:id="rId4"/>
    <hyperlink ref="L12" r:id="rId5"/>
    <hyperlink ref="L13" r:id="rId6"/>
    <hyperlink ref="L14" r:id="rId7"/>
    <hyperlink ref="L15" r:id="rId8"/>
    <hyperlink ref="L16" r:id="rId9"/>
    <hyperlink ref="L17" r:id="rId10"/>
    <hyperlink ref="L18" r:id="rId11"/>
    <hyperlink ref="L19" r:id="rId12"/>
    <hyperlink ref="L20" r:id="rId13"/>
    <hyperlink ref="L21" r:id="rId14"/>
    <hyperlink ref="L22" r:id="rId15"/>
    <hyperlink ref="L23" r:id="rId16"/>
    <hyperlink ref="L24" r:id="rId17"/>
    <hyperlink ref="L25" r:id="rId18"/>
    <hyperlink ref="L28" r:id="rId19"/>
    <hyperlink ref="L30" r:id="rId20"/>
    <hyperlink ref="L31" r:id="rId21"/>
    <hyperlink ref="L34" r:id="rId22"/>
    <hyperlink ref="L35" r:id="rId23"/>
    <hyperlink ref="L37" r:id="rId24"/>
    <hyperlink ref="L38" r:id="rId25"/>
    <hyperlink ref="L39" r:id="rId26"/>
    <hyperlink ref="L40" r:id="rId27"/>
    <hyperlink ref="L41" r:id="rId28"/>
    <hyperlink ref="L42" r:id="rId29"/>
    <hyperlink ref="L43" r:id="rId30"/>
    <hyperlink ref="L44" r:id="rId31"/>
    <hyperlink ref="L45" r:id="rId32"/>
    <hyperlink ref="L46" r:id="rId33"/>
    <hyperlink ref="L47" r:id="rId34"/>
    <hyperlink ref="L48" r:id="rId35"/>
    <hyperlink ref="L53" r:id="rId36"/>
    <hyperlink ref="L52" r:id="rId37"/>
    <hyperlink ref="L51" r:id="rId38"/>
    <hyperlink ref="L54" r:id="rId39"/>
    <hyperlink ref="L55" r:id="rId40"/>
    <hyperlink ref="L57" r:id="rId41"/>
    <hyperlink ref="L58" r:id="rId42"/>
    <hyperlink ref="L59" r:id="rId43"/>
    <hyperlink ref="L60" r:id="rId44"/>
    <hyperlink ref="L61" r:id="rId45"/>
    <hyperlink ref="L62" r:id="rId46"/>
    <hyperlink ref="L63" r:id="rId47"/>
    <hyperlink ref="L64" r:id="rId48"/>
    <hyperlink ref="L65" r:id="rId49"/>
    <hyperlink ref="L66" r:id="rId50"/>
    <hyperlink ref="L67" r:id="rId51"/>
    <hyperlink ref="L68" r:id="rId52"/>
    <hyperlink ref="L69" r:id="rId53"/>
    <hyperlink ref="L70" r:id="rId54"/>
    <hyperlink ref="L71" r:id="rId55"/>
    <hyperlink ref="L72" r:id="rId56"/>
    <hyperlink ref="L26" r:id="rId57"/>
    <hyperlink ref="L32" r:id="rId58"/>
    <hyperlink ref="L29" r:id="rId59"/>
    <hyperlink ref="L33" r:id="rId60"/>
    <hyperlink ref="L36" r:id="rId61"/>
    <hyperlink ref="L49" r:id="rId62"/>
    <hyperlink ref="L50" r:id="rId63"/>
    <hyperlink ref="L56" r:id="rId64"/>
    <hyperlink ref="L27" r:id="rId65"/>
  </hyperlinks>
  <pageMargins left="0.7" right="0.7" top="0.75" bottom="0.75" header="0.3" footer="0.3"/>
  <pageSetup paperSize="9" orientation="portrait" r:id="rId66"/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topLeftCell="A58" zoomScaleNormal="100" workbookViewId="0">
      <selection activeCell="H86" sqref="H86"/>
    </sheetView>
  </sheetViews>
  <sheetFormatPr defaultRowHeight="15" x14ac:dyDescent="0.25"/>
  <cols>
    <col min="2" max="2" width="3" bestFit="1" customWidth="1"/>
    <col min="3" max="3" width="13.140625" customWidth="1"/>
    <col min="4" max="4" width="31.140625" bestFit="1" customWidth="1"/>
    <col min="5" max="5" width="26.7109375" customWidth="1"/>
    <col min="6" max="6" width="22" customWidth="1"/>
    <col min="7" max="7" width="25.28515625" bestFit="1" customWidth="1"/>
    <col min="8" max="8" width="17" customWidth="1"/>
    <col min="10" max="10" width="8.7109375" bestFit="1" customWidth="1"/>
    <col min="12" max="12" width="18.7109375" bestFit="1" customWidth="1"/>
    <col min="13" max="13" width="19.28515625" bestFit="1" customWidth="1"/>
    <col min="14" max="14" width="8.5703125" bestFit="1" customWidth="1"/>
    <col min="15" max="15" width="26.42578125" customWidth="1"/>
  </cols>
  <sheetData>
    <row r="1" spans="1:15" ht="15.75" thickBot="1" x14ac:dyDescent="0.3">
      <c r="A1" s="1"/>
      <c r="B1" s="6"/>
      <c r="C1" s="6"/>
      <c r="D1" s="2"/>
      <c r="E1" s="2"/>
      <c r="F1" s="2"/>
      <c r="G1" s="2"/>
      <c r="H1" s="2"/>
      <c r="I1" s="56"/>
      <c r="J1" s="56"/>
      <c r="K1" s="56"/>
      <c r="L1" s="56"/>
      <c r="M1" s="56"/>
      <c r="N1" s="56"/>
      <c r="O1" s="57"/>
    </row>
    <row r="2" spans="1:15" ht="32.25" thickBot="1" x14ac:dyDescent="0.3">
      <c r="A2" s="1"/>
      <c r="B2" s="7"/>
      <c r="C2" s="13"/>
      <c r="D2" s="4" t="s">
        <v>0</v>
      </c>
      <c r="E2" s="4"/>
      <c r="F2" s="38" t="s">
        <v>321</v>
      </c>
      <c r="G2" s="5"/>
      <c r="H2" s="3"/>
      <c r="I2" s="30"/>
      <c r="J2" s="30"/>
      <c r="K2" s="30"/>
      <c r="L2" s="30"/>
      <c r="M2" s="30"/>
      <c r="N2" s="30"/>
      <c r="O2" s="60"/>
    </row>
    <row r="3" spans="1:15" ht="16.5" thickBot="1" x14ac:dyDescent="0.3">
      <c r="A3" s="1"/>
      <c r="B3" s="8"/>
      <c r="C3" s="25"/>
      <c r="D3" s="37" t="s">
        <v>1</v>
      </c>
      <c r="E3" s="26"/>
      <c r="F3" s="39" t="s">
        <v>322</v>
      </c>
      <c r="G3" s="28"/>
      <c r="H3" s="29"/>
      <c r="I3" s="23"/>
      <c r="J3" s="23"/>
      <c r="K3" s="23"/>
      <c r="L3" s="23"/>
      <c r="M3" s="23"/>
      <c r="N3" s="23"/>
      <c r="O3" s="61"/>
    </row>
    <row r="4" spans="1:15" x14ac:dyDescent="0.25">
      <c r="A4" s="1"/>
      <c r="B4" s="8"/>
      <c r="C4" s="25"/>
      <c r="D4" s="26"/>
      <c r="E4" s="26"/>
      <c r="F4" s="24"/>
      <c r="G4" s="27"/>
      <c r="H4" s="23"/>
      <c r="I4" s="23"/>
      <c r="J4" s="23"/>
      <c r="K4" s="23"/>
      <c r="L4" s="23"/>
      <c r="M4" s="23"/>
      <c r="N4" s="23"/>
      <c r="O4" s="61"/>
    </row>
    <row r="5" spans="1:15" x14ac:dyDescent="0.25">
      <c r="A5" s="1"/>
      <c r="B5" s="9"/>
      <c r="C5" s="31"/>
      <c r="D5" s="32"/>
      <c r="E5" s="32"/>
      <c r="F5" s="24"/>
      <c r="G5" s="32"/>
      <c r="H5" s="33"/>
      <c r="I5" s="33"/>
      <c r="J5" s="33"/>
      <c r="K5" s="33"/>
      <c r="L5" s="33"/>
      <c r="M5" s="33"/>
      <c r="N5" s="33"/>
      <c r="O5" s="61"/>
    </row>
    <row r="6" spans="1:15" ht="15.75" thickBot="1" x14ac:dyDescent="0.3">
      <c r="A6" s="1"/>
      <c r="B6" s="11"/>
      <c r="C6" s="34"/>
      <c r="D6" s="27"/>
      <c r="E6" s="27"/>
      <c r="F6" s="35"/>
      <c r="G6" s="32"/>
      <c r="H6" s="33"/>
      <c r="I6" s="33"/>
      <c r="J6" s="33"/>
      <c r="K6" s="33"/>
      <c r="L6" s="33"/>
      <c r="M6" s="33"/>
      <c r="N6" s="33"/>
      <c r="O6" s="62"/>
    </row>
    <row r="7" spans="1:15" ht="15.75" thickBot="1" x14ac:dyDescent="0.3">
      <c r="A7" s="1"/>
      <c r="B7" s="12" t="s">
        <v>2</v>
      </c>
      <c r="C7" s="12" t="s">
        <v>3</v>
      </c>
      <c r="D7" s="12" t="s">
        <v>21</v>
      </c>
      <c r="E7" s="12" t="s">
        <v>85</v>
      </c>
      <c r="F7" s="12" t="s">
        <v>147</v>
      </c>
      <c r="G7" s="12" t="s">
        <v>186</v>
      </c>
      <c r="H7" s="12" t="s">
        <v>243</v>
      </c>
      <c r="I7" s="42" t="s">
        <v>316</v>
      </c>
      <c r="J7" s="12" t="s">
        <v>309</v>
      </c>
      <c r="K7" s="12" t="s">
        <v>311</v>
      </c>
      <c r="L7" s="12" t="s">
        <v>380</v>
      </c>
      <c r="M7" s="12" t="s">
        <v>381</v>
      </c>
      <c r="N7" s="12" t="s">
        <v>314</v>
      </c>
      <c r="O7" s="12" t="s">
        <v>315</v>
      </c>
    </row>
    <row r="8" spans="1:15" s="50" customFormat="1" ht="24" x14ac:dyDescent="0.25">
      <c r="A8" s="48"/>
      <c r="B8" s="16">
        <f>ROW(B8) - ROW($B$7)</f>
        <v>1</v>
      </c>
      <c r="C8" s="21" t="s">
        <v>4</v>
      </c>
      <c r="D8" s="14" t="s">
        <v>22</v>
      </c>
      <c r="E8" s="14" t="s">
        <v>86</v>
      </c>
      <c r="F8" s="14" t="s">
        <v>148</v>
      </c>
      <c r="G8" s="14" t="s">
        <v>187</v>
      </c>
      <c r="H8" s="14" t="s">
        <v>244</v>
      </c>
      <c r="I8" s="43" t="s">
        <v>273</v>
      </c>
      <c r="J8" s="14">
        <v>14</v>
      </c>
      <c r="K8" s="47" t="s">
        <v>379</v>
      </c>
      <c r="L8" s="51" t="s">
        <v>323</v>
      </c>
      <c r="M8" s="51">
        <f>L8*J8</f>
        <v>0.64400000000000002</v>
      </c>
      <c r="N8" s="14"/>
      <c r="O8" s="49"/>
    </row>
    <row r="9" spans="1:15" s="50" customFormat="1" ht="36" x14ac:dyDescent="0.25">
      <c r="A9" s="48"/>
      <c r="B9" s="17">
        <f t="shared" ref="B9:B72" si="0">ROW(B9) - ROW($B$7)</f>
        <v>2</v>
      </c>
      <c r="C9" s="22" t="s">
        <v>4</v>
      </c>
      <c r="D9" s="20" t="s">
        <v>23</v>
      </c>
      <c r="E9" s="20" t="s">
        <v>87</v>
      </c>
      <c r="F9" s="20" t="s">
        <v>149</v>
      </c>
      <c r="G9" s="20" t="s">
        <v>188</v>
      </c>
      <c r="H9" s="20" t="s">
        <v>244</v>
      </c>
      <c r="I9" s="44" t="s">
        <v>274</v>
      </c>
      <c r="J9" s="20">
        <v>20</v>
      </c>
      <c r="K9" s="47" t="s">
        <v>379</v>
      </c>
      <c r="L9" s="51" t="s">
        <v>324</v>
      </c>
      <c r="M9" s="51">
        <f t="shared" ref="M9:M72" si="1">L9*J9</f>
        <v>9.120000000000001</v>
      </c>
      <c r="N9" s="20"/>
      <c r="O9" s="20"/>
    </row>
    <row r="10" spans="1:15" s="50" customFormat="1" ht="24" x14ac:dyDescent="0.25">
      <c r="A10" s="48"/>
      <c r="B10" s="16">
        <f>ROW(B10) - ROW($B$7)</f>
        <v>3</v>
      </c>
      <c r="C10" s="21" t="s">
        <v>4</v>
      </c>
      <c r="D10" s="14" t="s">
        <v>24</v>
      </c>
      <c r="E10" s="14" t="s">
        <v>88</v>
      </c>
      <c r="F10" s="14" t="s">
        <v>148</v>
      </c>
      <c r="G10" s="14" t="s">
        <v>189</v>
      </c>
      <c r="H10" s="14" t="s">
        <v>244</v>
      </c>
      <c r="I10" s="43" t="s">
        <v>275</v>
      </c>
      <c r="J10" s="14">
        <v>10</v>
      </c>
      <c r="K10" s="47" t="s">
        <v>379</v>
      </c>
      <c r="L10" s="51" t="s">
        <v>325</v>
      </c>
      <c r="M10" s="51">
        <f t="shared" si="1"/>
        <v>1.45</v>
      </c>
      <c r="N10" s="14"/>
      <c r="O10" s="49"/>
    </row>
    <row r="11" spans="1:15" s="50" customFormat="1" x14ac:dyDescent="0.25">
      <c r="A11" s="48"/>
      <c r="B11" s="17">
        <f t="shared" si="0"/>
        <v>4</v>
      </c>
      <c r="C11" s="22" t="s">
        <v>4</v>
      </c>
      <c r="D11" s="20" t="s">
        <v>25</v>
      </c>
      <c r="E11" s="20" t="s">
        <v>89</v>
      </c>
      <c r="F11" s="20" t="s">
        <v>149</v>
      </c>
      <c r="G11" s="20" t="s">
        <v>190</v>
      </c>
      <c r="H11" s="20" t="s">
        <v>244</v>
      </c>
      <c r="I11" s="44" t="s">
        <v>276</v>
      </c>
      <c r="J11" s="20">
        <v>4</v>
      </c>
      <c r="K11" s="47" t="s">
        <v>379</v>
      </c>
      <c r="L11" s="51" t="s">
        <v>326</v>
      </c>
      <c r="M11" s="51">
        <f t="shared" si="1"/>
        <v>2.72</v>
      </c>
      <c r="N11" s="20"/>
      <c r="O11" s="20"/>
    </row>
    <row r="12" spans="1:15" s="50" customFormat="1" x14ac:dyDescent="0.25">
      <c r="A12" s="48"/>
      <c r="B12" s="16">
        <f>ROW(B12) - ROW($B$7)</f>
        <v>5</v>
      </c>
      <c r="C12" s="21" t="s">
        <v>4</v>
      </c>
      <c r="D12" s="14" t="s">
        <v>26</v>
      </c>
      <c r="E12" s="14" t="s">
        <v>90</v>
      </c>
      <c r="F12" s="14" t="s">
        <v>150</v>
      </c>
      <c r="G12" s="14" t="s">
        <v>191</v>
      </c>
      <c r="H12" s="14" t="s">
        <v>244</v>
      </c>
      <c r="I12" s="43" t="s">
        <v>277</v>
      </c>
      <c r="J12" s="14">
        <v>8</v>
      </c>
      <c r="K12" s="47" t="s">
        <v>379</v>
      </c>
      <c r="L12" s="51" t="s">
        <v>327</v>
      </c>
      <c r="M12" s="51">
        <f t="shared" si="1"/>
        <v>2</v>
      </c>
      <c r="N12" s="14"/>
      <c r="O12" s="49"/>
    </row>
    <row r="13" spans="1:15" s="50" customFormat="1" x14ac:dyDescent="0.25">
      <c r="A13" s="48"/>
      <c r="B13" s="17">
        <f t="shared" si="0"/>
        <v>6</v>
      </c>
      <c r="C13" s="21" t="s">
        <v>4</v>
      </c>
      <c r="D13" s="20" t="s">
        <v>27</v>
      </c>
      <c r="E13" s="20" t="s">
        <v>91</v>
      </c>
      <c r="F13" s="20" t="s">
        <v>148</v>
      </c>
      <c r="G13" s="20" t="s">
        <v>192</v>
      </c>
      <c r="H13" s="20" t="s">
        <v>244</v>
      </c>
      <c r="I13" s="44" t="s">
        <v>278</v>
      </c>
      <c r="J13" s="20">
        <v>2</v>
      </c>
      <c r="K13" s="47" t="s">
        <v>379</v>
      </c>
      <c r="L13" s="51" t="s">
        <v>328</v>
      </c>
      <c r="M13" s="51">
        <f t="shared" si="1"/>
        <v>0.2</v>
      </c>
      <c r="N13" s="20"/>
      <c r="O13" s="20"/>
    </row>
    <row r="14" spans="1:15" s="50" customFormat="1" x14ac:dyDescent="0.25">
      <c r="A14" s="48"/>
      <c r="B14" s="16">
        <f>ROW(B14) - ROW($B$7)</f>
        <v>7</v>
      </c>
      <c r="C14" s="21" t="s">
        <v>4</v>
      </c>
      <c r="D14" s="14" t="s">
        <v>28</v>
      </c>
      <c r="E14" s="14" t="s">
        <v>92</v>
      </c>
      <c r="F14" s="14" t="s">
        <v>148</v>
      </c>
      <c r="G14" s="14" t="s">
        <v>193</v>
      </c>
      <c r="H14" s="14" t="s">
        <v>244</v>
      </c>
      <c r="I14" s="43" t="s">
        <v>279</v>
      </c>
      <c r="J14" s="14">
        <v>2</v>
      </c>
      <c r="K14" s="47" t="s">
        <v>379</v>
      </c>
      <c r="L14" s="51" t="s">
        <v>328</v>
      </c>
      <c r="M14" s="51">
        <f t="shared" si="1"/>
        <v>0.2</v>
      </c>
      <c r="N14" s="14"/>
      <c r="O14" s="49"/>
    </row>
    <row r="15" spans="1:15" s="50" customFormat="1" x14ac:dyDescent="0.25">
      <c r="A15" s="48"/>
      <c r="B15" s="17">
        <f t="shared" si="0"/>
        <v>8</v>
      </c>
      <c r="C15" s="21" t="s">
        <v>4</v>
      </c>
      <c r="D15" s="20" t="s">
        <v>29</v>
      </c>
      <c r="E15" s="20" t="s">
        <v>93</v>
      </c>
      <c r="F15" s="20" t="s">
        <v>151</v>
      </c>
      <c r="G15" s="20" t="s">
        <v>194</v>
      </c>
      <c r="H15" s="20" t="s">
        <v>244</v>
      </c>
      <c r="I15" s="44" t="s">
        <v>280</v>
      </c>
      <c r="J15" s="20">
        <v>1</v>
      </c>
      <c r="K15" s="47" t="s">
        <v>379</v>
      </c>
      <c r="L15" s="51" t="s">
        <v>328</v>
      </c>
      <c r="M15" s="51">
        <f t="shared" si="1"/>
        <v>0.1</v>
      </c>
      <c r="N15" s="20"/>
      <c r="O15" s="20"/>
    </row>
    <row r="16" spans="1:15" s="50" customFormat="1" ht="24" x14ac:dyDescent="0.25">
      <c r="A16" s="48"/>
      <c r="B16" s="16">
        <f>ROW(B16) - ROW($B$7)</f>
        <v>9</v>
      </c>
      <c r="C16" s="21" t="s">
        <v>4</v>
      </c>
      <c r="D16" s="14" t="s">
        <v>30</v>
      </c>
      <c r="E16" s="14" t="s">
        <v>94</v>
      </c>
      <c r="F16" s="14" t="s">
        <v>152</v>
      </c>
      <c r="G16" s="14" t="s">
        <v>195</v>
      </c>
      <c r="H16" s="14" t="s">
        <v>245</v>
      </c>
      <c r="I16" s="43" t="s">
        <v>276</v>
      </c>
      <c r="J16" s="14">
        <v>11</v>
      </c>
      <c r="K16" s="47" t="s">
        <v>379</v>
      </c>
      <c r="L16" s="51" t="s">
        <v>329</v>
      </c>
      <c r="M16" s="51">
        <f t="shared" si="1"/>
        <v>6.633</v>
      </c>
      <c r="N16" s="14"/>
      <c r="O16" s="49"/>
    </row>
    <row r="17" spans="1:15" s="50" customFormat="1" ht="36" x14ac:dyDescent="0.25">
      <c r="A17" s="48"/>
      <c r="B17" s="17">
        <f t="shared" si="0"/>
        <v>10</v>
      </c>
      <c r="C17" s="21" t="s">
        <v>4</v>
      </c>
      <c r="D17" s="20" t="s">
        <v>31</v>
      </c>
      <c r="E17" s="20" t="s">
        <v>95</v>
      </c>
      <c r="F17" s="20" t="s">
        <v>148</v>
      </c>
      <c r="G17" s="20" t="s">
        <v>196</v>
      </c>
      <c r="H17" s="20" t="s">
        <v>244</v>
      </c>
      <c r="I17" s="44" t="s">
        <v>281</v>
      </c>
      <c r="J17" s="20">
        <v>23</v>
      </c>
      <c r="K17" s="47" t="s">
        <v>379</v>
      </c>
      <c r="L17" s="51" t="s">
        <v>330</v>
      </c>
      <c r="M17" s="51">
        <f t="shared" si="1"/>
        <v>1.196</v>
      </c>
      <c r="N17" s="20"/>
      <c r="O17" s="20"/>
    </row>
    <row r="18" spans="1:15" s="50" customFormat="1" x14ac:dyDescent="0.25">
      <c r="A18" s="48"/>
      <c r="B18" s="16">
        <f>ROW(B18) - ROW($B$7)</f>
        <v>11</v>
      </c>
      <c r="C18" s="21" t="s">
        <v>4</v>
      </c>
      <c r="D18" s="14" t="s">
        <v>32</v>
      </c>
      <c r="E18" s="14" t="s">
        <v>96</v>
      </c>
      <c r="F18" s="14" t="s">
        <v>148</v>
      </c>
      <c r="G18" s="14" t="s">
        <v>197</v>
      </c>
      <c r="H18" s="14" t="s">
        <v>245</v>
      </c>
      <c r="I18" s="43" t="s">
        <v>282</v>
      </c>
      <c r="J18" s="14">
        <v>4</v>
      </c>
      <c r="K18" s="47" t="s">
        <v>379</v>
      </c>
      <c r="L18" s="51" t="s">
        <v>328</v>
      </c>
      <c r="M18" s="51">
        <f t="shared" si="1"/>
        <v>0.4</v>
      </c>
      <c r="N18" s="14"/>
      <c r="O18" s="49"/>
    </row>
    <row r="19" spans="1:15" s="50" customFormat="1" x14ac:dyDescent="0.25">
      <c r="A19" s="48"/>
      <c r="B19" s="17">
        <f t="shared" si="0"/>
        <v>12</v>
      </c>
      <c r="C19" s="21" t="s">
        <v>4</v>
      </c>
      <c r="D19" s="20" t="s">
        <v>33</v>
      </c>
      <c r="E19" s="20" t="s">
        <v>97</v>
      </c>
      <c r="F19" s="20" t="s">
        <v>148</v>
      </c>
      <c r="G19" s="20" t="s">
        <v>198</v>
      </c>
      <c r="H19" s="20" t="s">
        <v>244</v>
      </c>
      <c r="I19" s="44" t="s">
        <v>283</v>
      </c>
      <c r="J19" s="20">
        <v>2</v>
      </c>
      <c r="K19" s="47" t="s">
        <v>379</v>
      </c>
      <c r="L19" s="51" t="s">
        <v>328</v>
      </c>
      <c r="M19" s="51">
        <f t="shared" si="1"/>
        <v>0.2</v>
      </c>
      <c r="N19" s="20"/>
      <c r="O19" s="20"/>
    </row>
    <row r="20" spans="1:15" s="50" customFormat="1" x14ac:dyDescent="0.25">
      <c r="A20" s="48"/>
      <c r="B20" s="16">
        <f>ROW(B20) - ROW($B$7)</f>
        <v>13</v>
      </c>
      <c r="C20" s="21" t="s">
        <v>4</v>
      </c>
      <c r="D20" s="14" t="s">
        <v>34</v>
      </c>
      <c r="E20" s="14" t="s">
        <v>98</v>
      </c>
      <c r="F20" s="14" t="s">
        <v>148</v>
      </c>
      <c r="G20" s="14" t="s">
        <v>199</v>
      </c>
      <c r="H20" s="14" t="s">
        <v>246</v>
      </c>
      <c r="I20" s="43" t="s">
        <v>284</v>
      </c>
      <c r="J20" s="14">
        <v>2</v>
      </c>
      <c r="K20" s="47" t="s">
        <v>379</v>
      </c>
      <c r="L20" s="51" t="s">
        <v>331</v>
      </c>
      <c r="M20" s="51">
        <f t="shared" si="1"/>
        <v>0.32</v>
      </c>
      <c r="N20" s="14"/>
      <c r="O20" s="49"/>
    </row>
    <row r="21" spans="1:15" s="50" customFormat="1" x14ac:dyDescent="0.25">
      <c r="A21" s="48"/>
      <c r="B21" s="17">
        <f t="shared" si="0"/>
        <v>14</v>
      </c>
      <c r="C21" s="22" t="s">
        <v>4</v>
      </c>
      <c r="D21" s="20" t="s">
        <v>35</v>
      </c>
      <c r="E21" s="20" t="s">
        <v>99</v>
      </c>
      <c r="F21" s="20" t="s">
        <v>149</v>
      </c>
      <c r="G21" s="20" t="s">
        <v>200</v>
      </c>
      <c r="H21" s="20" t="s">
        <v>244</v>
      </c>
      <c r="I21" s="44" t="s">
        <v>285</v>
      </c>
      <c r="J21" s="20">
        <v>1</v>
      </c>
      <c r="K21" s="47" t="s">
        <v>379</v>
      </c>
      <c r="L21" s="51" t="s">
        <v>332</v>
      </c>
      <c r="M21" s="51">
        <f t="shared" si="1"/>
        <v>0.2</v>
      </c>
      <c r="N21" s="20"/>
      <c r="O21" s="20"/>
    </row>
    <row r="22" spans="1:15" s="50" customFormat="1" x14ac:dyDescent="0.25">
      <c r="A22" s="48"/>
      <c r="B22" s="16">
        <f>ROW(B22) - ROW($B$7)</f>
        <v>15</v>
      </c>
      <c r="C22" s="21" t="s">
        <v>4</v>
      </c>
      <c r="D22" s="14" t="s">
        <v>36</v>
      </c>
      <c r="E22" s="14" t="s">
        <v>100</v>
      </c>
      <c r="F22" s="14" t="s">
        <v>151</v>
      </c>
      <c r="G22" s="14" t="s">
        <v>201</v>
      </c>
      <c r="H22" s="14" t="s">
        <v>247</v>
      </c>
      <c r="I22" s="43" t="s">
        <v>286</v>
      </c>
      <c r="J22" s="14">
        <v>2</v>
      </c>
      <c r="K22" s="47" t="s">
        <v>379</v>
      </c>
      <c r="L22" s="51" t="s">
        <v>333</v>
      </c>
      <c r="M22" s="51">
        <f t="shared" si="1"/>
        <v>0.22</v>
      </c>
      <c r="N22" s="14"/>
      <c r="O22" s="49"/>
    </row>
    <row r="23" spans="1:15" s="50" customFormat="1" x14ac:dyDescent="0.25">
      <c r="A23" s="48"/>
      <c r="B23" s="17">
        <f t="shared" si="0"/>
        <v>16</v>
      </c>
      <c r="C23" s="22" t="s">
        <v>5</v>
      </c>
      <c r="D23" s="20" t="s">
        <v>37</v>
      </c>
      <c r="E23" s="20" t="s">
        <v>101</v>
      </c>
      <c r="F23" s="20" t="s">
        <v>153</v>
      </c>
      <c r="G23" s="20" t="s">
        <v>202</v>
      </c>
      <c r="H23" s="20" t="s">
        <v>246</v>
      </c>
      <c r="I23" s="44" t="s">
        <v>287</v>
      </c>
      <c r="J23" s="20">
        <v>1</v>
      </c>
      <c r="K23" s="47" t="s">
        <v>379</v>
      </c>
      <c r="L23" s="51" t="s">
        <v>334</v>
      </c>
      <c r="M23" s="51">
        <f t="shared" si="1"/>
        <v>0.28999999999999998</v>
      </c>
      <c r="N23" s="20"/>
      <c r="O23" s="20"/>
    </row>
    <row r="24" spans="1:15" s="50" customFormat="1" x14ac:dyDescent="0.25">
      <c r="A24" s="48"/>
      <c r="B24" s="16">
        <f>ROW(B24) - ROW($B$7)</f>
        <v>17</v>
      </c>
      <c r="C24" s="21" t="s">
        <v>5</v>
      </c>
      <c r="D24" s="14" t="s">
        <v>38</v>
      </c>
      <c r="E24" s="14" t="s">
        <v>102</v>
      </c>
      <c r="F24" s="14" t="s">
        <v>154</v>
      </c>
      <c r="G24" s="14" t="s">
        <v>203</v>
      </c>
      <c r="H24" s="14" t="s">
        <v>246</v>
      </c>
      <c r="I24" s="43" t="s">
        <v>287</v>
      </c>
      <c r="J24" s="14">
        <v>4</v>
      </c>
      <c r="K24" s="47" t="s">
        <v>379</v>
      </c>
      <c r="L24" s="51" t="s">
        <v>335</v>
      </c>
      <c r="M24" s="51">
        <f t="shared" si="1"/>
        <v>0.92</v>
      </c>
      <c r="N24" s="14"/>
      <c r="O24" s="49"/>
    </row>
    <row r="25" spans="1:15" s="50" customFormat="1" ht="24" x14ac:dyDescent="0.25">
      <c r="A25" s="48"/>
      <c r="B25" s="17">
        <f t="shared" si="0"/>
        <v>18</v>
      </c>
      <c r="C25" s="22" t="s">
        <v>6</v>
      </c>
      <c r="D25" s="20" t="s">
        <v>39</v>
      </c>
      <c r="E25" s="20" t="s">
        <v>103</v>
      </c>
      <c r="F25" s="20" t="s">
        <v>317</v>
      </c>
      <c r="G25" s="20" t="s">
        <v>155</v>
      </c>
      <c r="H25" s="20" t="s">
        <v>248</v>
      </c>
      <c r="I25" s="44" t="s">
        <v>318</v>
      </c>
      <c r="J25" s="20">
        <v>1</v>
      </c>
      <c r="K25" s="47" t="s">
        <v>379</v>
      </c>
      <c r="L25" s="51" t="s">
        <v>336</v>
      </c>
      <c r="M25" s="51">
        <f t="shared" si="1"/>
        <v>0.92</v>
      </c>
      <c r="N25" s="20"/>
      <c r="O25" s="20"/>
    </row>
    <row r="26" spans="1:15" s="50" customFormat="1" ht="36" x14ac:dyDescent="0.25">
      <c r="A26" s="48"/>
      <c r="B26" s="16">
        <f>ROW(B26) - ROW($B$7)</f>
        <v>19</v>
      </c>
      <c r="C26" s="21" t="s">
        <v>7</v>
      </c>
      <c r="D26" s="14" t="s">
        <v>392</v>
      </c>
      <c r="E26" s="14" t="s">
        <v>104</v>
      </c>
      <c r="F26" s="14" t="s">
        <v>156</v>
      </c>
      <c r="G26" s="14" t="s">
        <v>204</v>
      </c>
      <c r="H26" s="14" t="s">
        <v>249</v>
      </c>
      <c r="I26" s="44" t="s">
        <v>318</v>
      </c>
      <c r="J26" s="14">
        <v>1</v>
      </c>
      <c r="K26" s="47" t="s">
        <v>388</v>
      </c>
      <c r="L26" s="15">
        <v>3.56E-2</v>
      </c>
      <c r="M26" s="51">
        <f t="shared" si="1"/>
        <v>3.56E-2</v>
      </c>
      <c r="N26" s="14"/>
      <c r="O26" s="49"/>
    </row>
    <row r="27" spans="1:15" s="50" customFormat="1" ht="24" x14ac:dyDescent="0.25">
      <c r="A27" s="48"/>
      <c r="B27" s="16">
        <f>ROW(B27) - ROW($B$7)</f>
        <v>20</v>
      </c>
      <c r="C27" s="21" t="s">
        <v>7</v>
      </c>
      <c r="D27" s="14" t="s">
        <v>391</v>
      </c>
      <c r="E27" s="14" t="s">
        <v>394</v>
      </c>
      <c r="F27" s="14" t="s">
        <v>317</v>
      </c>
      <c r="G27" s="14" t="s">
        <v>393</v>
      </c>
      <c r="H27" s="14" t="s">
        <v>250</v>
      </c>
      <c r="I27" s="44" t="s">
        <v>318</v>
      </c>
      <c r="J27" s="14">
        <v>1</v>
      </c>
      <c r="K27" s="47" t="s">
        <v>379</v>
      </c>
      <c r="L27" s="15">
        <v>0.99</v>
      </c>
      <c r="M27" s="51">
        <f t="shared" si="1"/>
        <v>0.99</v>
      </c>
      <c r="N27" s="14"/>
      <c r="O27" s="49"/>
    </row>
    <row r="28" spans="1:15" s="50" customFormat="1" ht="25.5" x14ac:dyDescent="0.25">
      <c r="A28" s="48"/>
      <c r="B28" s="17">
        <f t="shared" si="0"/>
        <v>21</v>
      </c>
      <c r="C28" s="22" t="s">
        <v>8</v>
      </c>
      <c r="D28" s="20" t="s">
        <v>40</v>
      </c>
      <c r="E28" s="20" t="s">
        <v>105</v>
      </c>
      <c r="F28" s="20" t="s">
        <v>317</v>
      </c>
      <c r="G28" s="20" t="s">
        <v>157</v>
      </c>
      <c r="H28" s="20" t="s">
        <v>250</v>
      </c>
      <c r="I28" s="44" t="s">
        <v>318</v>
      </c>
      <c r="J28" s="20">
        <v>1</v>
      </c>
      <c r="K28" s="47" t="s">
        <v>379</v>
      </c>
      <c r="L28" s="51" t="s">
        <v>350</v>
      </c>
      <c r="M28" s="51">
        <f t="shared" si="1"/>
        <v>0.72</v>
      </c>
      <c r="N28" s="20"/>
      <c r="O28" s="20"/>
    </row>
    <row r="29" spans="1:15" s="50" customFormat="1" ht="24" x14ac:dyDescent="0.25">
      <c r="A29" s="48"/>
      <c r="B29" s="16">
        <f>ROW(B29) - ROW($B$7)</f>
        <v>22</v>
      </c>
      <c r="C29" s="21" t="s">
        <v>9</v>
      </c>
      <c r="D29" s="14" t="s">
        <v>41</v>
      </c>
      <c r="E29" s="14" t="s">
        <v>106</v>
      </c>
      <c r="F29" s="20" t="s">
        <v>317</v>
      </c>
      <c r="G29" s="14" t="s">
        <v>205</v>
      </c>
      <c r="H29" s="14" t="s">
        <v>251</v>
      </c>
      <c r="I29" s="43" t="s">
        <v>288</v>
      </c>
      <c r="J29" s="14">
        <v>2</v>
      </c>
      <c r="K29" s="47" t="s">
        <v>388</v>
      </c>
      <c r="L29" s="51">
        <v>7.6499999999999999E-2</v>
      </c>
      <c r="M29" s="51">
        <f t="shared" si="1"/>
        <v>0.153</v>
      </c>
      <c r="N29" s="14"/>
      <c r="O29" s="49"/>
    </row>
    <row r="30" spans="1:15" s="50" customFormat="1" ht="24" x14ac:dyDescent="0.25">
      <c r="A30" s="48"/>
      <c r="B30" s="17">
        <f t="shared" si="0"/>
        <v>23</v>
      </c>
      <c r="C30" s="21" t="s">
        <v>9</v>
      </c>
      <c r="D30" s="20" t="s">
        <v>42</v>
      </c>
      <c r="E30" s="20" t="s">
        <v>107</v>
      </c>
      <c r="F30" s="20" t="s">
        <v>158</v>
      </c>
      <c r="G30" s="20" t="s">
        <v>206</v>
      </c>
      <c r="H30" s="20" t="s">
        <v>246</v>
      </c>
      <c r="I30" s="44" t="s">
        <v>319</v>
      </c>
      <c r="J30" s="20">
        <v>4</v>
      </c>
      <c r="K30" s="47" t="s">
        <v>379</v>
      </c>
      <c r="L30" s="51" t="s">
        <v>351</v>
      </c>
      <c r="M30" s="51">
        <f t="shared" si="1"/>
        <v>1.66</v>
      </c>
      <c r="N30" s="20"/>
      <c r="O30" s="20"/>
    </row>
    <row r="31" spans="1:15" s="50" customFormat="1" x14ac:dyDescent="0.25">
      <c r="A31" s="48"/>
      <c r="B31" s="16">
        <f>ROW(B31) - ROW($B$7)</f>
        <v>24</v>
      </c>
      <c r="C31" s="21" t="s">
        <v>10</v>
      </c>
      <c r="D31" s="14" t="s">
        <v>43</v>
      </c>
      <c r="E31" s="14" t="s">
        <v>108</v>
      </c>
      <c r="F31" s="14" t="s">
        <v>159</v>
      </c>
      <c r="G31" s="14" t="s">
        <v>207</v>
      </c>
      <c r="H31" s="14" t="s">
        <v>252</v>
      </c>
      <c r="I31" s="43" t="s">
        <v>318</v>
      </c>
      <c r="J31" s="14">
        <v>1</v>
      </c>
      <c r="K31" s="47" t="s">
        <v>379</v>
      </c>
      <c r="L31" s="51" t="s">
        <v>352</v>
      </c>
      <c r="M31" s="51">
        <f t="shared" si="1"/>
        <v>0.35</v>
      </c>
      <c r="N31" s="14"/>
      <c r="O31" s="49"/>
    </row>
    <row r="32" spans="1:15" s="50" customFormat="1" x14ac:dyDescent="0.25">
      <c r="A32" s="48"/>
      <c r="B32" s="17">
        <f t="shared" si="0"/>
        <v>25</v>
      </c>
      <c r="C32" s="22" t="s">
        <v>10</v>
      </c>
      <c r="D32" s="20" t="s">
        <v>44</v>
      </c>
      <c r="E32" s="20" t="s">
        <v>390</v>
      </c>
      <c r="F32" s="14" t="s">
        <v>159</v>
      </c>
      <c r="G32" s="20" t="s">
        <v>389</v>
      </c>
      <c r="H32" s="14" t="s">
        <v>252</v>
      </c>
      <c r="I32" s="44" t="s">
        <v>318</v>
      </c>
      <c r="J32" s="20">
        <v>1</v>
      </c>
      <c r="K32" s="47" t="s">
        <v>379</v>
      </c>
      <c r="L32" s="51">
        <v>0.3</v>
      </c>
      <c r="M32" s="51">
        <f t="shared" si="1"/>
        <v>0.3</v>
      </c>
      <c r="N32" s="20"/>
      <c r="O32" s="20"/>
    </row>
    <row r="33" spans="1:15" s="50" customFormat="1" ht="36" x14ac:dyDescent="0.25">
      <c r="A33" s="48"/>
      <c r="B33" s="16">
        <f>ROW(B33) - ROW($B$7)</f>
        <v>26</v>
      </c>
      <c r="C33" s="21" t="s">
        <v>11</v>
      </c>
      <c r="D33" s="14" t="s">
        <v>45</v>
      </c>
      <c r="E33" s="14" t="s">
        <v>109</v>
      </c>
      <c r="F33" s="14" t="s">
        <v>160</v>
      </c>
      <c r="G33" s="14" t="s">
        <v>208</v>
      </c>
      <c r="H33" s="14" t="s">
        <v>253</v>
      </c>
      <c r="I33" s="43" t="s">
        <v>318</v>
      </c>
      <c r="J33" s="14">
        <v>1</v>
      </c>
      <c r="K33" s="47" t="s">
        <v>388</v>
      </c>
      <c r="L33" s="51">
        <v>0.1661</v>
      </c>
      <c r="M33" s="51">
        <f t="shared" si="1"/>
        <v>0.1661</v>
      </c>
      <c r="N33" s="14"/>
      <c r="O33" s="49"/>
    </row>
    <row r="34" spans="1:15" s="50" customFormat="1" ht="24" x14ac:dyDescent="0.25">
      <c r="A34" s="48"/>
      <c r="B34" s="17">
        <f t="shared" si="0"/>
        <v>27</v>
      </c>
      <c r="C34" s="22" t="s">
        <v>12</v>
      </c>
      <c r="D34" s="20" t="s">
        <v>46</v>
      </c>
      <c r="E34" s="20" t="s">
        <v>110</v>
      </c>
      <c r="F34" s="20" t="s">
        <v>161</v>
      </c>
      <c r="G34" s="20" t="s">
        <v>209</v>
      </c>
      <c r="H34" s="20" t="s">
        <v>254</v>
      </c>
      <c r="I34" s="43" t="s">
        <v>318</v>
      </c>
      <c r="J34" s="20">
        <v>1</v>
      </c>
      <c r="K34" s="47" t="s">
        <v>379</v>
      </c>
      <c r="L34" s="51" t="s">
        <v>353</v>
      </c>
      <c r="M34" s="51">
        <f t="shared" si="1"/>
        <v>0.14000000000000001</v>
      </c>
      <c r="N34" s="20"/>
      <c r="O34" s="20"/>
    </row>
    <row r="35" spans="1:15" s="50" customFormat="1" x14ac:dyDescent="0.25">
      <c r="A35" s="48"/>
      <c r="B35" s="16">
        <f>ROW(B35) - ROW($B$7)</f>
        <v>28</v>
      </c>
      <c r="C35" s="22" t="s">
        <v>12</v>
      </c>
      <c r="D35" s="14" t="s">
        <v>47</v>
      </c>
      <c r="E35" s="14" t="s">
        <v>111</v>
      </c>
      <c r="F35" s="14" t="s">
        <v>162</v>
      </c>
      <c r="G35" s="14" t="s">
        <v>210</v>
      </c>
      <c r="H35" s="14" t="s">
        <v>255</v>
      </c>
      <c r="I35" s="43" t="s">
        <v>318</v>
      </c>
      <c r="J35" s="14">
        <v>1</v>
      </c>
      <c r="K35" s="47" t="s">
        <v>379</v>
      </c>
      <c r="L35" s="51" t="s">
        <v>354</v>
      </c>
      <c r="M35" s="51">
        <f t="shared" si="1"/>
        <v>1.1299999999999999</v>
      </c>
      <c r="N35" s="14"/>
      <c r="O35" s="49"/>
    </row>
    <row r="36" spans="1:15" s="50" customFormat="1" ht="48" x14ac:dyDescent="0.25">
      <c r="A36" s="48"/>
      <c r="B36" s="17">
        <f t="shared" si="0"/>
        <v>29</v>
      </c>
      <c r="C36" s="22" t="s">
        <v>12</v>
      </c>
      <c r="D36" s="20" t="s">
        <v>48</v>
      </c>
      <c r="E36" s="20" t="s">
        <v>112</v>
      </c>
      <c r="F36" s="20" t="s">
        <v>163</v>
      </c>
      <c r="G36" s="20" t="s">
        <v>211</v>
      </c>
      <c r="H36" s="20" t="s">
        <v>256</v>
      </c>
      <c r="I36" s="43" t="s">
        <v>318</v>
      </c>
      <c r="J36" s="20">
        <v>1</v>
      </c>
      <c r="K36" s="47" t="s">
        <v>388</v>
      </c>
      <c r="L36" s="51">
        <v>3.0800000000000001E-2</v>
      </c>
      <c r="M36" s="51">
        <f t="shared" si="1"/>
        <v>3.0800000000000001E-2</v>
      </c>
      <c r="N36" s="20"/>
      <c r="O36" s="20"/>
    </row>
    <row r="37" spans="1:15" s="50" customFormat="1" x14ac:dyDescent="0.25">
      <c r="A37" s="48"/>
      <c r="B37" s="16">
        <f>ROW(B37) - ROW($B$7)</f>
        <v>30</v>
      </c>
      <c r="C37" s="21" t="s">
        <v>13</v>
      </c>
      <c r="D37" s="14" t="s">
        <v>49</v>
      </c>
      <c r="E37" s="14" t="s">
        <v>113</v>
      </c>
      <c r="F37" s="14" t="s">
        <v>164</v>
      </c>
      <c r="G37" s="14" t="s">
        <v>212</v>
      </c>
      <c r="H37" s="14" t="s">
        <v>244</v>
      </c>
      <c r="I37" s="43" t="s">
        <v>289</v>
      </c>
      <c r="J37" s="14">
        <v>3</v>
      </c>
      <c r="K37" s="47" t="s">
        <v>379</v>
      </c>
      <c r="L37" s="51" t="s">
        <v>328</v>
      </c>
      <c r="M37" s="51">
        <f t="shared" si="1"/>
        <v>0.30000000000000004</v>
      </c>
      <c r="N37" s="14"/>
      <c r="O37" s="49"/>
    </row>
    <row r="38" spans="1:15" s="50" customFormat="1" ht="24" x14ac:dyDescent="0.25">
      <c r="A38" s="48"/>
      <c r="B38" s="17">
        <f t="shared" si="0"/>
        <v>31</v>
      </c>
      <c r="C38" s="22" t="s">
        <v>13</v>
      </c>
      <c r="D38" s="20" t="s">
        <v>50</v>
      </c>
      <c r="E38" s="20" t="s">
        <v>114</v>
      </c>
      <c r="F38" s="20" t="s">
        <v>164</v>
      </c>
      <c r="G38" s="20" t="s">
        <v>213</v>
      </c>
      <c r="H38" s="20" t="s">
        <v>244</v>
      </c>
      <c r="I38" s="44" t="s">
        <v>290</v>
      </c>
      <c r="J38" s="20">
        <v>1</v>
      </c>
      <c r="K38" s="47" t="s">
        <v>379</v>
      </c>
      <c r="L38" s="51" t="s">
        <v>328</v>
      </c>
      <c r="M38" s="51">
        <f t="shared" si="1"/>
        <v>0.1</v>
      </c>
      <c r="N38" s="20"/>
      <c r="O38" s="20"/>
    </row>
    <row r="39" spans="1:15" s="50" customFormat="1" x14ac:dyDescent="0.25">
      <c r="A39" s="48"/>
      <c r="B39" s="16">
        <f>ROW(B39) - ROW($B$7)</f>
        <v>32</v>
      </c>
      <c r="C39" s="21" t="s">
        <v>13</v>
      </c>
      <c r="D39" s="14" t="s">
        <v>51</v>
      </c>
      <c r="E39" s="14" t="s">
        <v>115</v>
      </c>
      <c r="F39" s="14" t="s">
        <v>165</v>
      </c>
      <c r="G39" s="14" t="s">
        <v>214</v>
      </c>
      <c r="H39" s="14" t="s">
        <v>244</v>
      </c>
      <c r="I39" s="43" t="s">
        <v>291</v>
      </c>
      <c r="J39" s="14">
        <v>5</v>
      </c>
      <c r="K39" s="47" t="s">
        <v>379</v>
      </c>
      <c r="L39" s="51" t="s">
        <v>328</v>
      </c>
      <c r="M39" s="51">
        <f t="shared" si="1"/>
        <v>0.5</v>
      </c>
      <c r="N39" s="14"/>
      <c r="O39" s="49"/>
    </row>
    <row r="40" spans="1:15" s="50" customFormat="1" ht="36" x14ac:dyDescent="0.25">
      <c r="A40" s="48"/>
      <c r="B40" s="17">
        <f t="shared" si="0"/>
        <v>33</v>
      </c>
      <c r="C40" s="22" t="s">
        <v>13</v>
      </c>
      <c r="D40" s="20" t="s">
        <v>52</v>
      </c>
      <c r="E40" s="20" t="s">
        <v>116</v>
      </c>
      <c r="F40" s="20" t="s">
        <v>164</v>
      </c>
      <c r="G40" s="20" t="s">
        <v>215</v>
      </c>
      <c r="H40" s="20" t="s">
        <v>244</v>
      </c>
      <c r="I40" s="44" t="s">
        <v>292</v>
      </c>
      <c r="J40" s="20">
        <v>24</v>
      </c>
      <c r="K40" s="47" t="s">
        <v>379</v>
      </c>
      <c r="L40" s="51" t="s">
        <v>355</v>
      </c>
      <c r="M40" s="51">
        <f t="shared" si="1"/>
        <v>0.36</v>
      </c>
      <c r="N40" s="20"/>
      <c r="O40" s="20"/>
    </row>
    <row r="41" spans="1:15" s="50" customFormat="1" x14ac:dyDescent="0.25">
      <c r="A41" s="48"/>
      <c r="B41" s="16">
        <f>ROW(B41) - ROW($B$7)</f>
        <v>34</v>
      </c>
      <c r="C41" s="21" t="s">
        <v>14</v>
      </c>
      <c r="D41" s="14" t="s">
        <v>53</v>
      </c>
      <c r="E41" s="14" t="s">
        <v>117</v>
      </c>
      <c r="F41" s="14" t="s">
        <v>166</v>
      </c>
      <c r="G41" s="14" t="s">
        <v>216</v>
      </c>
      <c r="H41" s="14" t="s">
        <v>244</v>
      </c>
      <c r="I41" s="43" t="s">
        <v>293</v>
      </c>
      <c r="J41" s="14">
        <v>1</v>
      </c>
      <c r="K41" s="47" t="s">
        <v>379</v>
      </c>
      <c r="L41" s="51" t="s">
        <v>358</v>
      </c>
      <c r="M41" s="51">
        <f t="shared" si="1"/>
        <v>0.57999999999999996</v>
      </c>
      <c r="N41" s="14"/>
      <c r="O41" s="49"/>
    </row>
    <row r="42" spans="1:15" s="50" customFormat="1" ht="24" x14ac:dyDescent="0.25">
      <c r="A42" s="48"/>
      <c r="B42" s="17">
        <f t="shared" si="0"/>
        <v>35</v>
      </c>
      <c r="C42" s="22" t="s">
        <v>13</v>
      </c>
      <c r="D42" s="20" t="s">
        <v>54</v>
      </c>
      <c r="E42" s="20" t="s">
        <v>118</v>
      </c>
      <c r="F42" s="20" t="s">
        <v>167</v>
      </c>
      <c r="G42" s="20" t="s">
        <v>217</v>
      </c>
      <c r="H42" s="20" t="s">
        <v>257</v>
      </c>
      <c r="I42" s="44" t="s">
        <v>294</v>
      </c>
      <c r="J42" s="20">
        <v>1</v>
      </c>
      <c r="K42" s="47" t="s">
        <v>379</v>
      </c>
      <c r="L42" s="51" t="s">
        <v>328</v>
      </c>
      <c r="M42" s="51">
        <f t="shared" si="1"/>
        <v>0.1</v>
      </c>
      <c r="N42" s="20"/>
      <c r="O42" s="20"/>
    </row>
    <row r="43" spans="1:15" s="50" customFormat="1" ht="24" x14ac:dyDescent="0.25">
      <c r="A43" s="48"/>
      <c r="B43" s="16">
        <f>ROW(B43) - ROW($B$7)</f>
        <v>36</v>
      </c>
      <c r="C43" s="21" t="s">
        <v>13</v>
      </c>
      <c r="D43" s="14" t="s">
        <v>55</v>
      </c>
      <c r="E43" s="14" t="s">
        <v>119</v>
      </c>
      <c r="F43" s="14" t="s">
        <v>167</v>
      </c>
      <c r="G43" s="14" t="s">
        <v>382</v>
      </c>
      <c r="H43" s="20" t="s">
        <v>257</v>
      </c>
      <c r="I43" s="43" t="s">
        <v>295</v>
      </c>
      <c r="J43" s="14">
        <v>1</v>
      </c>
      <c r="K43" s="47" t="s">
        <v>379</v>
      </c>
      <c r="L43" s="51" t="s">
        <v>328</v>
      </c>
      <c r="M43" s="51">
        <f t="shared" si="1"/>
        <v>0.1</v>
      </c>
      <c r="N43" s="14"/>
      <c r="O43" s="49"/>
    </row>
    <row r="44" spans="1:15" s="50" customFormat="1" x14ac:dyDescent="0.25">
      <c r="A44" s="48"/>
      <c r="B44" s="17">
        <f t="shared" si="0"/>
        <v>37</v>
      </c>
      <c r="C44" s="22" t="s">
        <v>13</v>
      </c>
      <c r="D44" s="20" t="s">
        <v>56</v>
      </c>
      <c r="E44" s="20" t="s">
        <v>120</v>
      </c>
      <c r="F44" s="20" t="s">
        <v>167</v>
      </c>
      <c r="G44" s="20" t="s">
        <v>218</v>
      </c>
      <c r="H44" s="20" t="s">
        <v>244</v>
      </c>
      <c r="I44" s="44" t="s">
        <v>296</v>
      </c>
      <c r="J44" s="20">
        <v>1</v>
      </c>
      <c r="K44" s="47" t="s">
        <v>379</v>
      </c>
      <c r="L44" s="51" t="s">
        <v>328</v>
      </c>
      <c r="M44" s="51">
        <f t="shared" si="1"/>
        <v>0.1</v>
      </c>
      <c r="N44" s="20"/>
      <c r="O44" s="20"/>
    </row>
    <row r="45" spans="1:15" s="50" customFormat="1" x14ac:dyDescent="0.25">
      <c r="A45" s="48"/>
      <c r="B45" s="16">
        <f>ROW(B45) - ROW($B$7)</f>
        <v>38</v>
      </c>
      <c r="C45" s="22" t="s">
        <v>13</v>
      </c>
      <c r="D45" s="14" t="s">
        <v>57</v>
      </c>
      <c r="E45" s="14" t="s">
        <v>121</v>
      </c>
      <c r="F45" s="14" t="s">
        <v>167</v>
      </c>
      <c r="G45" s="14" t="s">
        <v>219</v>
      </c>
      <c r="H45" s="14" t="s">
        <v>244</v>
      </c>
      <c r="I45" s="43" t="s">
        <v>297</v>
      </c>
      <c r="J45" s="14">
        <v>1</v>
      </c>
      <c r="K45" s="47" t="s">
        <v>379</v>
      </c>
      <c r="L45" s="51" t="s">
        <v>328</v>
      </c>
      <c r="M45" s="51">
        <f t="shared" si="1"/>
        <v>0.1</v>
      </c>
      <c r="N45" s="14"/>
      <c r="O45" s="49"/>
    </row>
    <row r="46" spans="1:15" s="50" customFormat="1" x14ac:dyDescent="0.25">
      <c r="A46" s="48"/>
      <c r="B46" s="17">
        <f t="shared" si="0"/>
        <v>39</v>
      </c>
      <c r="C46" s="22" t="s">
        <v>13</v>
      </c>
      <c r="D46" s="20" t="s">
        <v>58</v>
      </c>
      <c r="E46" s="20" t="s">
        <v>122</v>
      </c>
      <c r="F46" s="20" t="s">
        <v>164</v>
      </c>
      <c r="G46" s="20" t="s">
        <v>220</v>
      </c>
      <c r="H46" s="20" t="s">
        <v>244</v>
      </c>
      <c r="I46" s="44" t="s">
        <v>298</v>
      </c>
      <c r="J46" s="20">
        <v>4</v>
      </c>
      <c r="K46" s="47" t="s">
        <v>379</v>
      </c>
      <c r="L46" s="51" t="s">
        <v>328</v>
      </c>
      <c r="M46" s="51">
        <f t="shared" si="1"/>
        <v>0.4</v>
      </c>
      <c r="N46" s="20"/>
      <c r="O46" s="20"/>
    </row>
    <row r="47" spans="1:15" s="50" customFormat="1" ht="24" x14ac:dyDescent="0.25">
      <c r="A47" s="48"/>
      <c r="B47" s="16">
        <f>ROW(B47) - ROW($B$7)</f>
        <v>40</v>
      </c>
      <c r="C47" s="21" t="s">
        <v>14</v>
      </c>
      <c r="D47" s="14" t="s">
        <v>59</v>
      </c>
      <c r="E47" s="14" t="s">
        <v>123</v>
      </c>
      <c r="F47" s="14" t="s">
        <v>164</v>
      </c>
      <c r="G47" s="14" t="s">
        <v>221</v>
      </c>
      <c r="H47" s="14" t="s">
        <v>258</v>
      </c>
      <c r="I47" s="43" t="s">
        <v>299</v>
      </c>
      <c r="J47" s="14">
        <v>4</v>
      </c>
      <c r="K47" s="47" t="s">
        <v>379</v>
      </c>
      <c r="L47" s="51" t="s">
        <v>328</v>
      </c>
      <c r="M47" s="51">
        <f t="shared" si="1"/>
        <v>0.4</v>
      </c>
      <c r="N47" s="14"/>
      <c r="O47" s="49"/>
    </row>
    <row r="48" spans="1:15" s="50" customFormat="1" x14ac:dyDescent="0.25">
      <c r="A48" s="48"/>
      <c r="B48" s="17">
        <f t="shared" si="0"/>
        <v>41</v>
      </c>
      <c r="C48" s="21" t="s">
        <v>14</v>
      </c>
      <c r="D48" s="20" t="s">
        <v>60</v>
      </c>
      <c r="E48" s="20" t="s">
        <v>124</v>
      </c>
      <c r="F48" s="20" t="s">
        <v>164</v>
      </c>
      <c r="G48" s="20" t="s">
        <v>222</v>
      </c>
      <c r="H48" s="20" t="s">
        <v>244</v>
      </c>
      <c r="I48" s="44" t="s">
        <v>300</v>
      </c>
      <c r="J48" s="20">
        <v>1</v>
      </c>
      <c r="K48" s="47" t="s">
        <v>379</v>
      </c>
      <c r="L48" s="51" t="s">
        <v>328</v>
      </c>
      <c r="M48" s="51">
        <f t="shared" si="1"/>
        <v>0.1</v>
      </c>
      <c r="N48" s="20"/>
      <c r="O48" s="20"/>
    </row>
    <row r="49" spans="1:15" s="50" customFormat="1" ht="36" x14ac:dyDescent="0.25">
      <c r="A49" s="48"/>
      <c r="B49" s="16">
        <f>ROW(B49) - ROW($B$7)</f>
        <v>42</v>
      </c>
      <c r="C49" s="21" t="s">
        <v>13</v>
      </c>
      <c r="D49" s="14" t="s">
        <v>61</v>
      </c>
      <c r="E49" s="14" t="s">
        <v>125</v>
      </c>
      <c r="F49" s="14" t="s">
        <v>165</v>
      </c>
      <c r="G49" s="14" t="s">
        <v>223</v>
      </c>
      <c r="H49" s="14" t="s">
        <v>259</v>
      </c>
      <c r="I49" s="43" t="s">
        <v>301</v>
      </c>
      <c r="J49" s="14">
        <v>2</v>
      </c>
      <c r="K49" s="47" t="s">
        <v>388</v>
      </c>
      <c r="L49" s="51">
        <v>8.9999999999999998E-4</v>
      </c>
      <c r="M49" s="51">
        <f t="shared" si="1"/>
        <v>1.8E-3</v>
      </c>
      <c r="N49" s="14"/>
      <c r="O49" s="49"/>
    </row>
    <row r="50" spans="1:15" s="50" customFormat="1" ht="24" x14ac:dyDescent="0.25">
      <c r="A50" s="48"/>
      <c r="B50" s="17">
        <f t="shared" si="0"/>
        <v>43</v>
      </c>
      <c r="C50" s="22" t="s">
        <v>13</v>
      </c>
      <c r="D50" s="20" t="s">
        <v>62</v>
      </c>
      <c r="E50" s="20" t="s">
        <v>126</v>
      </c>
      <c r="F50" s="20" t="s">
        <v>167</v>
      </c>
      <c r="G50" s="20" t="s">
        <v>224</v>
      </c>
      <c r="H50" s="20" t="s">
        <v>260</v>
      </c>
      <c r="I50" s="44" t="s">
        <v>302</v>
      </c>
      <c r="J50" s="20">
        <v>3</v>
      </c>
      <c r="K50" s="47" t="s">
        <v>388</v>
      </c>
      <c r="L50" s="51">
        <v>4.1999999999999997E-3</v>
      </c>
      <c r="M50" s="51">
        <f t="shared" si="1"/>
        <v>1.26E-2</v>
      </c>
      <c r="N50" s="20"/>
      <c r="O50" s="20"/>
    </row>
    <row r="51" spans="1:15" s="50" customFormat="1" ht="24" x14ac:dyDescent="0.25">
      <c r="A51" s="48"/>
      <c r="B51" s="16">
        <f>ROW(B51) - ROW($B$7)</f>
        <v>44</v>
      </c>
      <c r="C51" s="21" t="s">
        <v>13</v>
      </c>
      <c r="D51" s="14" t="s">
        <v>63</v>
      </c>
      <c r="E51" s="14" t="s">
        <v>127</v>
      </c>
      <c r="F51" s="14" t="s">
        <v>168</v>
      </c>
      <c r="G51" s="14" t="s">
        <v>225</v>
      </c>
      <c r="H51" s="14" t="s">
        <v>244</v>
      </c>
      <c r="I51" s="43" t="s">
        <v>303</v>
      </c>
      <c r="J51" s="14">
        <v>2</v>
      </c>
      <c r="K51" s="47" t="s">
        <v>379</v>
      </c>
      <c r="L51" s="51" t="s">
        <v>331</v>
      </c>
      <c r="M51" s="51">
        <f t="shared" si="1"/>
        <v>0.32</v>
      </c>
      <c r="N51" s="14"/>
      <c r="O51" s="49"/>
    </row>
    <row r="52" spans="1:15" s="50" customFormat="1" x14ac:dyDescent="0.25">
      <c r="A52" s="48"/>
      <c r="B52" s="17">
        <f t="shared" si="0"/>
        <v>45</v>
      </c>
      <c r="C52" s="22" t="s">
        <v>13</v>
      </c>
      <c r="D52" s="20" t="s">
        <v>64</v>
      </c>
      <c r="E52" s="20" t="s">
        <v>128</v>
      </c>
      <c r="F52" s="20" t="s">
        <v>164</v>
      </c>
      <c r="G52" s="20" t="s">
        <v>226</v>
      </c>
      <c r="H52" s="20" t="s">
        <v>261</v>
      </c>
      <c r="I52" s="44" t="s">
        <v>304</v>
      </c>
      <c r="J52" s="20">
        <v>2</v>
      </c>
      <c r="K52" s="47" t="s">
        <v>379</v>
      </c>
      <c r="L52" s="51" t="s">
        <v>361</v>
      </c>
      <c r="M52" s="51">
        <f t="shared" si="1"/>
        <v>0.17349999999999999</v>
      </c>
      <c r="N52" s="20"/>
      <c r="O52" s="20"/>
    </row>
    <row r="53" spans="1:15" s="50" customFormat="1" x14ac:dyDescent="0.25">
      <c r="A53" s="48"/>
      <c r="B53" s="16">
        <f>ROW(B53) - ROW($B$7)</f>
        <v>46</v>
      </c>
      <c r="C53" s="21" t="s">
        <v>13</v>
      </c>
      <c r="D53" s="14" t="s">
        <v>65</v>
      </c>
      <c r="E53" s="14" t="s">
        <v>129</v>
      </c>
      <c r="F53" s="14" t="s">
        <v>164</v>
      </c>
      <c r="G53" s="14" t="s">
        <v>227</v>
      </c>
      <c r="H53" s="14" t="s">
        <v>261</v>
      </c>
      <c r="I53" s="43" t="s">
        <v>305</v>
      </c>
      <c r="J53" s="14">
        <v>1</v>
      </c>
      <c r="K53" s="47" t="s">
        <v>379</v>
      </c>
      <c r="L53" s="51" t="s">
        <v>361</v>
      </c>
      <c r="M53" s="51">
        <f t="shared" si="1"/>
        <v>8.6749999999999994E-2</v>
      </c>
      <c r="N53" s="14"/>
      <c r="O53" s="49"/>
    </row>
    <row r="54" spans="1:15" s="50" customFormat="1" ht="24" x14ac:dyDescent="0.25">
      <c r="A54" s="48"/>
      <c r="B54" s="17">
        <f t="shared" si="0"/>
        <v>47</v>
      </c>
      <c r="C54" s="22" t="s">
        <v>15</v>
      </c>
      <c r="D54" s="20" t="s">
        <v>66</v>
      </c>
      <c r="E54" s="20" t="s">
        <v>130</v>
      </c>
      <c r="F54" s="20" t="s">
        <v>317</v>
      </c>
      <c r="G54" s="20" t="s">
        <v>228</v>
      </c>
      <c r="H54" s="20" t="s">
        <v>262</v>
      </c>
      <c r="I54" s="44" t="s">
        <v>318</v>
      </c>
      <c r="J54" s="20">
        <v>1</v>
      </c>
      <c r="K54" s="47" t="s">
        <v>379</v>
      </c>
      <c r="L54" s="51" t="s">
        <v>334</v>
      </c>
      <c r="M54" s="51">
        <f t="shared" si="1"/>
        <v>0.28999999999999998</v>
      </c>
      <c r="N54" s="20"/>
      <c r="O54" s="20"/>
    </row>
    <row r="55" spans="1:15" s="50" customFormat="1" ht="24" x14ac:dyDescent="0.25">
      <c r="A55" s="48"/>
      <c r="B55" s="16">
        <f>ROW(B55) - ROW($B$7)</f>
        <v>48</v>
      </c>
      <c r="C55" s="21" t="s">
        <v>16</v>
      </c>
      <c r="D55" s="14" t="s">
        <v>67</v>
      </c>
      <c r="E55" s="14" t="s">
        <v>130</v>
      </c>
      <c r="F55" s="20" t="s">
        <v>317</v>
      </c>
      <c r="G55" s="14" t="s">
        <v>169</v>
      </c>
      <c r="H55" s="14" t="s">
        <v>263</v>
      </c>
      <c r="I55" s="44" t="s">
        <v>318</v>
      </c>
      <c r="J55" s="14">
        <v>2</v>
      </c>
      <c r="K55" s="47" t="s">
        <v>379</v>
      </c>
      <c r="L55" s="51" t="s">
        <v>383</v>
      </c>
      <c r="M55" s="51">
        <f t="shared" si="1"/>
        <v>2.04</v>
      </c>
      <c r="N55" s="14"/>
      <c r="O55" s="49"/>
    </row>
    <row r="56" spans="1:15" s="50" customFormat="1" ht="36" x14ac:dyDescent="0.25">
      <c r="A56" s="48"/>
      <c r="B56" s="17">
        <f t="shared" si="0"/>
        <v>49</v>
      </c>
      <c r="C56" s="22" t="s">
        <v>16</v>
      </c>
      <c r="D56" s="20" t="s">
        <v>68</v>
      </c>
      <c r="E56" s="20" t="s">
        <v>131</v>
      </c>
      <c r="F56" s="20" t="s">
        <v>317</v>
      </c>
      <c r="G56" s="20" t="s">
        <v>170</v>
      </c>
      <c r="H56" s="20" t="s">
        <v>264</v>
      </c>
      <c r="I56" s="44" t="s">
        <v>318</v>
      </c>
      <c r="J56" s="20">
        <v>3</v>
      </c>
      <c r="K56" s="47" t="s">
        <v>388</v>
      </c>
      <c r="L56" s="51">
        <v>0.36980000000000002</v>
      </c>
      <c r="M56" s="51">
        <f t="shared" si="1"/>
        <v>1.1093999999999999</v>
      </c>
      <c r="N56" s="20"/>
      <c r="O56" s="20"/>
    </row>
    <row r="57" spans="1:15" s="50" customFormat="1" x14ac:dyDescent="0.25">
      <c r="A57" s="48"/>
      <c r="B57" s="16">
        <f>ROW(B57) - ROW($B$7)</f>
        <v>50</v>
      </c>
      <c r="C57" s="21" t="s">
        <v>384</v>
      </c>
      <c r="D57" s="14" t="s">
        <v>69</v>
      </c>
      <c r="E57" s="14" t="s">
        <v>132</v>
      </c>
      <c r="F57" s="20" t="s">
        <v>317</v>
      </c>
      <c r="G57" s="14" t="s">
        <v>171</v>
      </c>
      <c r="H57" s="14" t="s">
        <v>265</v>
      </c>
      <c r="I57" s="44" t="s">
        <v>318</v>
      </c>
      <c r="J57" s="14">
        <v>1</v>
      </c>
      <c r="K57" s="47" t="s">
        <v>379</v>
      </c>
      <c r="L57" s="51" t="s">
        <v>363</v>
      </c>
      <c r="M57" s="51">
        <f t="shared" si="1"/>
        <v>1.67</v>
      </c>
      <c r="N57" s="14"/>
      <c r="O57" s="49"/>
    </row>
    <row r="58" spans="1:15" s="50" customFormat="1" x14ac:dyDescent="0.25">
      <c r="A58" s="48"/>
      <c r="B58" s="17">
        <f t="shared" si="0"/>
        <v>51</v>
      </c>
      <c r="C58" s="22" t="s">
        <v>18</v>
      </c>
      <c r="D58" s="20" t="s">
        <v>70</v>
      </c>
      <c r="E58" s="20" t="s">
        <v>133</v>
      </c>
      <c r="F58" s="20" t="s">
        <v>172</v>
      </c>
      <c r="G58" s="20" t="s">
        <v>229</v>
      </c>
      <c r="H58" s="20" t="s">
        <v>266</v>
      </c>
      <c r="I58" s="44" t="s">
        <v>318</v>
      </c>
      <c r="J58" s="20">
        <v>1</v>
      </c>
      <c r="K58" s="47" t="s">
        <v>379</v>
      </c>
      <c r="L58" s="51" t="s">
        <v>364</v>
      </c>
      <c r="M58" s="51">
        <f t="shared" si="1"/>
        <v>1.35</v>
      </c>
      <c r="N58" s="20"/>
      <c r="O58" s="20"/>
    </row>
    <row r="59" spans="1:15" s="50" customFormat="1" ht="24" x14ac:dyDescent="0.25">
      <c r="A59" s="48"/>
      <c r="B59" s="16">
        <f>ROW(B59) - ROW($B$7)</f>
        <v>52</v>
      </c>
      <c r="C59" s="21" t="s">
        <v>18</v>
      </c>
      <c r="D59" s="14" t="s">
        <v>71</v>
      </c>
      <c r="E59" s="14" t="s">
        <v>134</v>
      </c>
      <c r="F59" s="14" t="s">
        <v>173</v>
      </c>
      <c r="G59" s="14" t="s">
        <v>230</v>
      </c>
      <c r="H59" s="14" t="s">
        <v>267</v>
      </c>
      <c r="I59" s="44" t="s">
        <v>318</v>
      </c>
      <c r="J59" s="14">
        <v>1</v>
      </c>
      <c r="K59" s="47" t="s">
        <v>379</v>
      </c>
      <c r="L59" s="51" t="s">
        <v>365</v>
      </c>
      <c r="M59" s="51">
        <f t="shared" si="1"/>
        <v>3.05</v>
      </c>
      <c r="N59" s="14"/>
      <c r="O59" s="49"/>
    </row>
    <row r="60" spans="1:15" s="50" customFormat="1" ht="24" x14ac:dyDescent="0.25">
      <c r="A60" s="48"/>
      <c r="B60" s="17">
        <f t="shared" si="0"/>
        <v>53</v>
      </c>
      <c r="C60" s="22" t="s">
        <v>18</v>
      </c>
      <c r="D60" s="20" t="s">
        <v>72</v>
      </c>
      <c r="E60" s="20" t="s">
        <v>135</v>
      </c>
      <c r="F60" s="20" t="s">
        <v>174</v>
      </c>
      <c r="G60" s="20" t="s">
        <v>231</v>
      </c>
      <c r="H60" s="20" t="s">
        <v>266</v>
      </c>
      <c r="I60" s="44" t="s">
        <v>318</v>
      </c>
      <c r="J60" s="20">
        <v>1</v>
      </c>
      <c r="K60" s="47" t="s">
        <v>379</v>
      </c>
      <c r="L60" s="51" t="s">
        <v>366</v>
      </c>
      <c r="M60" s="51">
        <f t="shared" si="1"/>
        <v>2.1800000000000002</v>
      </c>
      <c r="N60" s="20"/>
      <c r="O60" s="20"/>
    </row>
    <row r="61" spans="1:15" s="50" customFormat="1" x14ac:dyDescent="0.25">
      <c r="A61" s="48"/>
      <c r="B61" s="16">
        <f>ROW(B61) - ROW($B$7)</f>
        <v>54</v>
      </c>
      <c r="C61" s="21" t="s">
        <v>18</v>
      </c>
      <c r="D61" s="14" t="s">
        <v>73</v>
      </c>
      <c r="E61" s="14" t="s">
        <v>136</v>
      </c>
      <c r="F61" s="14" t="s">
        <v>175</v>
      </c>
      <c r="G61" s="14" t="s">
        <v>232</v>
      </c>
      <c r="H61" s="14" t="s">
        <v>266</v>
      </c>
      <c r="I61" s="44" t="s">
        <v>318</v>
      </c>
      <c r="J61" s="14">
        <v>1</v>
      </c>
      <c r="K61" s="47" t="s">
        <v>379</v>
      </c>
      <c r="L61" s="51" t="s">
        <v>367</v>
      </c>
      <c r="M61" s="51">
        <f t="shared" si="1"/>
        <v>2.74</v>
      </c>
      <c r="N61" s="14"/>
      <c r="O61" s="49"/>
    </row>
    <row r="62" spans="1:15" s="50" customFormat="1" ht="24" x14ac:dyDescent="0.25">
      <c r="A62" s="48"/>
      <c r="B62" s="17">
        <f t="shared" si="0"/>
        <v>55</v>
      </c>
      <c r="C62" s="21" t="s">
        <v>18</v>
      </c>
      <c r="D62" s="20" t="s">
        <v>74</v>
      </c>
      <c r="E62" s="20" t="s">
        <v>137</v>
      </c>
      <c r="F62" s="20" t="s">
        <v>176</v>
      </c>
      <c r="G62" s="20" t="s">
        <v>233</v>
      </c>
      <c r="H62" s="20" t="s">
        <v>266</v>
      </c>
      <c r="I62" s="44" t="s">
        <v>318</v>
      </c>
      <c r="J62" s="20">
        <v>1</v>
      </c>
      <c r="K62" s="47" t="s">
        <v>379</v>
      </c>
      <c r="L62" s="51" t="s">
        <v>368</v>
      </c>
      <c r="M62" s="51">
        <f t="shared" si="1"/>
        <v>1.21</v>
      </c>
      <c r="N62" s="20"/>
      <c r="O62" s="20"/>
    </row>
    <row r="63" spans="1:15" s="50" customFormat="1" ht="24" x14ac:dyDescent="0.25">
      <c r="A63" s="48"/>
      <c r="B63" s="16">
        <f>ROW(B63) - ROW($B$7)</f>
        <v>56</v>
      </c>
      <c r="C63" s="21" t="s">
        <v>18</v>
      </c>
      <c r="D63" s="14" t="s">
        <v>75</v>
      </c>
      <c r="E63" s="14" t="s">
        <v>138</v>
      </c>
      <c r="F63" s="14" t="s">
        <v>177</v>
      </c>
      <c r="G63" s="14" t="s">
        <v>234</v>
      </c>
      <c r="H63" s="14" t="s">
        <v>268</v>
      </c>
      <c r="I63" s="44" t="s">
        <v>318</v>
      </c>
      <c r="J63" s="14">
        <v>1</v>
      </c>
      <c r="K63" s="47" t="s">
        <v>379</v>
      </c>
      <c r="L63" s="51" t="s">
        <v>369</v>
      </c>
      <c r="M63" s="51">
        <f t="shared" si="1"/>
        <v>0.61</v>
      </c>
      <c r="N63" s="14"/>
      <c r="O63" s="49"/>
    </row>
    <row r="64" spans="1:15" s="50" customFormat="1" x14ac:dyDescent="0.25">
      <c r="A64" s="48"/>
      <c r="B64" s="17">
        <f t="shared" si="0"/>
        <v>57</v>
      </c>
      <c r="C64" s="22" t="s">
        <v>18</v>
      </c>
      <c r="D64" s="20" t="s">
        <v>76</v>
      </c>
      <c r="E64" s="20" t="s">
        <v>139</v>
      </c>
      <c r="F64" s="20" t="s">
        <v>178</v>
      </c>
      <c r="G64" s="20" t="s">
        <v>235</v>
      </c>
      <c r="H64" s="20" t="s">
        <v>269</v>
      </c>
      <c r="I64" s="44" t="s">
        <v>318</v>
      </c>
      <c r="J64" s="20">
        <v>1</v>
      </c>
      <c r="K64" s="47" t="s">
        <v>379</v>
      </c>
      <c r="L64" s="51" t="s">
        <v>370</v>
      </c>
      <c r="M64" s="51">
        <f t="shared" si="1"/>
        <v>0.41</v>
      </c>
      <c r="N64" s="20"/>
      <c r="O64" s="20"/>
    </row>
    <row r="65" spans="1:15" s="50" customFormat="1" x14ac:dyDescent="0.25">
      <c r="A65" s="48"/>
      <c r="B65" s="16">
        <f>ROW(B65) - ROW($B$7)</f>
        <v>58</v>
      </c>
      <c r="C65" s="21" t="s">
        <v>18</v>
      </c>
      <c r="D65" s="14" t="s">
        <v>77</v>
      </c>
      <c r="E65" s="14" t="s">
        <v>140</v>
      </c>
      <c r="F65" s="14" t="s">
        <v>178</v>
      </c>
      <c r="G65" s="14" t="s">
        <v>236</v>
      </c>
      <c r="H65" s="14" t="s">
        <v>269</v>
      </c>
      <c r="I65" s="44" t="s">
        <v>318</v>
      </c>
      <c r="J65" s="14">
        <v>1</v>
      </c>
      <c r="K65" s="47" t="s">
        <v>379</v>
      </c>
      <c r="L65" s="51" t="s">
        <v>371</v>
      </c>
      <c r="M65" s="51">
        <f t="shared" si="1"/>
        <v>0.4</v>
      </c>
      <c r="N65" s="14"/>
      <c r="O65" s="49"/>
    </row>
    <row r="66" spans="1:15" s="50" customFormat="1" x14ac:dyDescent="0.25">
      <c r="A66" s="48"/>
      <c r="B66" s="17">
        <f t="shared" si="0"/>
        <v>59</v>
      </c>
      <c r="C66" s="22" t="s">
        <v>18</v>
      </c>
      <c r="D66" s="20" t="s">
        <v>78</v>
      </c>
      <c r="E66" s="20" t="s">
        <v>141</v>
      </c>
      <c r="F66" s="20" t="s">
        <v>179</v>
      </c>
      <c r="G66" s="20" t="s">
        <v>237</v>
      </c>
      <c r="H66" s="20" t="s">
        <v>266</v>
      </c>
      <c r="I66" s="44" t="s">
        <v>318</v>
      </c>
      <c r="J66" s="20">
        <v>1</v>
      </c>
      <c r="K66" s="47" t="s">
        <v>379</v>
      </c>
      <c r="L66" s="51" t="s">
        <v>372</v>
      </c>
      <c r="M66" s="51">
        <f t="shared" si="1"/>
        <v>6.21</v>
      </c>
      <c r="N66" s="20"/>
      <c r="O66" s="20"/>
    </row>
    <row r="67" spans="1:15" s="50" customFormat="1" ht="36" x14ac:dyDescent="0.25">
      <c r="A67" s="48"/>
      <c r="B67" s="16">
        <f>ROW(B67) - ROW($B$7)</f>
        <v>60</v>
      </c>
      <c r="C67" s="21" t="s">
        <v>18</v>
      </c>
      <c r="D67" s="14" t="s">
        <v>79</v>
      </c>
      <c r="E67" s="14" t="s">
        <v>320</v>
      </c>
      <c r="F67" s="14" t="s">
        <v>180</v>
      </c>
      <c r="G67" s="14" t="s">
        <v>238</v>
      </c>
      <c r="H67" s="14" t="s">
        <v>266</v>
      </c>
      <c r="I67" s="44" t="s">
        <v>318</v>
      </c>
      <c r="J67" s="14">
        <v>1</v>
      </c>
      <c r="K67" s="47" t="s">
        <v>379</v>
      </c>
      <c r="L67" s="51" t="s">
        <v>373</v>
      </c>
      <c r="M67" s="51">
        <f t="shared" si="1"/>
        <v>37.989130000000003</v>
      </c>
      <c r="N67" s="14"/>
      <c r="O67" s="49"/>
    </row>
    <row r="68" spans="1:15" s="50" customFormat="1" ht="24" x14ac:dyDescent="0.25">
      <c r="A68" s="48"/>
      <c r="B68" s="17">
        <f t="shared" si="0"/>
        <v>61</v>
      </c>
      <c r="C68" s="22" t="s">
        <v>18</v>
      </c>
      <c r="D68" s="20" t="s">
        <v>80</v>
      </c>
      <c r="E68" s="20" t="s">
        <v>142</v>
      </c>
      <c r="F68" s="20" t="s">
        <v>181</v>
      </c>
      <c r="G68" s="20" t="s">
        <v>239</v>
      </c>
      <c r="H68" s="20" t="s">
        <v>270</v>
      </c>
      <c r="I68" s="44" t="s">
        <v>318</v>
      </c>
      <c r="J68" s="20">
        <v>1</v>
      </c>
      <c r="K68" s="47" t="s">
        <v>379</v>
      </c>
      <c r="L68" s="51" t="s">
        <v>374</v>
      </c>
      <c r="M68" s="51">
        <f t="shared" si="1"/>
        <v>1.1200000000000001</v>
      </c>
      <c r="N68" s="20"/>
      <c r="O68" s="20"/>
    </row>
    <row r="69" spans="1:15" s="50" customFormat="1" ht="24" x14ac:dyDescent="0.25">
      <c r="A69" s="48"/>
      <c r="B69" s="16">
        <f>ROW(B69) - ROW($B$7)</f>
        <v>62</v>
      </c>
      <c r="C69" s="21" t="s">
        <v>18</v>
      </c>
      <c r="D69" s="14" t="s">
        <v>81</v>
      </c>
      <c r="E69" s="14" t="s">
        <v>143</v>
      </c>
      <c r="F69" s="14" t="s">
        <v>182</v>
      </c>
      <c r="G69" s="14" t="s">
        <v>240</v>
      </c>
      <c r="H69" s="14" t="s">
        <v>271</v>
      </c>
      <c r="I69" s="44" t="s">
        <v>318</v>
      </c>
      <c r="J69" s="14">
        <v>1</v>
      </c>
      <c r="K69" s="47" t="s">
        <v>379</v>
      </c>
      <c r="L69" s="51" t="s">
        <v>375</v>
      </c>
      <c r="M69" s="51">
        <f t="shared" si="1"/>
        <v>6.19</v>
      </c>
      <c r="N69" s="14"/>
      <c r="O69" s="49"/>
    </row>
    <row r="70" spans="1:15" s="50" customFormat="1" x14ac:dyDescent="0.25">
      <c r="A70" s="48"/>
      <c r="B70" s="17">
        <f t="shared" si="0"/>
        <v>63</v>
      </c>
      <c r="C70" s="22" t="s">
        <v>19</v>
      </c>
      <c r="D70" s="20" t="s">
        <v>82</v>
      </c>
      <c r="E70" s="20" t="s">
        <v>144</v>
      </c>
      <c r="F70" s="20" t="s">
        <v>183</v>
      </c>
      <c r="G70" s="20" t="s">
        <v>241</v>
      </c>
      <c r="H70" s="20" t="s">
        <v>254</v>
      </c>
      <c r="I70" s="44" t="s">
        <v>306</v>
      </c>
      <c r="J70" s="20">
        <v>1</v>
      </c>
      <c r="K70" s="47" t="s">
        <v>379</v>
      </c>
      <c r="L70" s="51" t="s">
        <v>376</v>
      </c>
      <c r="M70" s="51">
        <f t="shared" si="1"/>
        <v>0.76</v>
      </c>
      <c r="N70" s="20"/>
      <c r="O70" s="20"/>
    </row>
    <row r="71" spans="1:15" s="50" customFormat="1" x14ac:dyDescent="0.25">
      <c r="A71" s="48"/>
      <c r="B71" s="16">
        <f>ROW(B71) - ROW($B$7)</f>
        <v>64</v>
      </c>
      <c r="C71" s="21" t="s">
        <v>20</v>
      </c>
      <c r="D71" s="14" t="s">
        <v>83</v>
      </c>
      <c r="E71" s="14" t="s">
        <v>145</v>
      </c>
      <c r="F71" s="20" t="s">
        <v>317</v>
      </c>
      <c r="G71" s="14" t="s">
        <v>184</v>
      </c>
      <c r="H71" s="14" t="s">
        <v>272</v>
      </c>
      <c r="I71" s="43" t="s">
        <v>307</v>
      </c>
      <c r="J71" s="14">
        <v>1</v>
      </c>
      <c r="K71" s="47" t="s">
        <v>379</v>
      </c>
      <c r="L71" s="51" t="s">
        <v>377</v>
      </c>
      <c r="M71" s="51">
        <f t="shared" si="1"/>
        <v>0.46</v>
      </c>
      <c r="N71" s="14"/>
      <c r="O71" s="49"/>
    </row>
    <row r="72" spans="1:15" s="50" customFormat="1" ht="15.75" thickBot="1" x14ac:dyDescent="0.3">
      <c r="A72" s="48"/>
      <c r="B72" s="46">
        <f t="shared" si="0"/>
        <v>65</v>
      </c>
      <c r="C72" s="40" t="s">
        <v>20</v>
      </c>
      <c r="D72" s="41" t="s">
        <v>84</v>
      </c>
      <c r="E72" s="41" t="s">
        <v>146</v>
      </c>
      <c r="F72" s="41" t="s">
        <v>185</v>
      </c>
      <c r="G72" s="41" t="s">
        <v>242</v>
      </c>
      <c r="H72" s="41" t="s">
        <v>272</v>
      </c>
      <c r="I72" s="45" t="s">
        <v>308</v>
      </c>
      <c r="J72" s="41">
        <v>1</v>
      </c>
      <c r="K72" s="52" t="s">
        <v>379</v>
      </c>
      <c r="L72" s="53" t="s">
        <v>378</v>
      </c>
      <c r="M72" s="53">
        <f t="shared" si="1"/>
        <v>0.63</v>
      </c>
      <c r="N72" s="41"/>
      <c r="O72" s="41"/>
    </row>
    <row r="73" spans="1:15" ht="19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58" t="s">
        <v>385</v>
      </c>
      <c r="L73" s="59"/>
      <c r="M73" s="54">
        <f>SUM(M8:M72)</f>
        <v>107.56168</v>
      </c>
      <c r="N73" s="1"/>
      <c r="O73" s="1"/>
    </row>
  </sheetData>
  <mergeCells count="3">
    <mergeCell ref="I1:O1"/>
    <mergeCell ref="O2:O6"/>
    <mergeCell ref="K73:L73"/>
  </mergeCells>
  <hyperlinks>
    <hyperlink ref="K8" r:id="rId1"/>
    <hyperlink ref="K9" r:id="rId2"/>
    <hyperlink ref="K10" r:id="rId3"/>
    <hyperlink ref="K11" r:id="rId4"/>
    <hyperlink ref="K12" r:id="rId5"/>
    <hyperlink ref="K13" r:id="rId6"/>
    <hyperlink ref="K14" r:id="rId7"/>
    <hyperlink ref="K15" r:id="rId8"/>
    <hyperlink ref="K16" r:id="rId9"/>
    <hyperlink ref="K17" r:id="rId10"/>
    <hyperlink ref="K18" r:id="rId11"/>
    <hyperlink ref="K19" r:id="rId12"/>
    <hyperlink ref="K20" r:id="rId13"/>
    <hyperlink ref="K21" r:id="rId14"/>
    <hyperlink ref="K22" r:id="rId15"/>
    <hyperlink ref="K23" r:id="rId16"/>
    <hyperlink ref="K24" r:id="rId17"/>
    <hyperlink ref="K25" r:id="rId18"/>
    <hyperlink ref="K28" r:id="rId19"/>
    <hyperlink ref="K30" r:id="rId20"/>
    <hyperlink ref="K31" r:id="rId21"/>
    <hyperlink ref="K34" r:id="rId22"/>
    <hyperlink ref="K35" r:id="rId23"/>
    <hyperlink ref="K37" r:id="rId24"/>
    <hyperlink ref="K38" r:id="rId25"/>
    <hyperlink ref="K39" r:id="rId26"/>
    <hyperlink ref="K40" r:id="rId27"/>
    <hyperlink ref="K41" r:id="rId28"/>
    <hyperlink ref="K42" r:id="rId29"/>
    <hyperlink ref="K43" r:id="rId30"/>
    <hyperlink ref="K44" r:id="rId31"/>
    <hyperlink ref="K45" r:id="rId32"/>
    <hyperlink ref="K46" r:id="rId33"/>
    <hyperlink ref="K47" r:id="rId34"/>
    <hyperlink ref="K48" r:id="rId35"/>
    <hyperlink ref="K53" r:id="rId36"/>
    <hyperlink ref="K52" r:id="rId37"/>
    <hyperlink ref="K51" r:id="rId38"/>
    <hyperlink ref="K54" r:id="rId39"/>
    <hyperlink ref="K55" r:id="rId40"/>
    <hyperlink ref="K57" r:id="rId41"/>
    <hyperlink ref="K58" r:id="rId42"/>
    <hyperlink ref="K59" r:id="rId43"/>
    <hyperlink ref="K60" r:id="rId44"/>
    <hyperlink ref="K61" r:id="rId45"/>
    <hyperlink ref="K62" r:id="rId46"/>
    <hyperlink ref="K63" r:id="rId47"/>
    <hyperlink ref="K64" r:id="rId48"/>
    <hyperlink ref="K65" r:id="rId49"/>
    <hyperlink ref="K66" r:id="rId50"/>
    <hyperlink ref="K67" r:id="rId51"/>
    <hyperlink ref="K68" r:id="rId52"/>
    <hyperlink ref="K69" r:id="rId53"/>
    <hyperlink ref="K70" r:id="rId54"/>
    <hyperlink ref="K71" r:id="rId55"/>
    <hyperlink ref="K72" r:id="rId56"/>
    <hyperlink ref="K32" r:id="rId57"/>
    <hyperlink ref="K26" r:id="rId58"/>
    <hyperlink ref="K29" r:id="rId59"/>
    <hyperlink ref="K33" r:id="rId60"/>
    <hyperlink ref="K36" r:id="rId61"/>
    <hyperlink ref="K49" r:id="rId62"/>
    <hyperlink ref="K50" r:id="rId63"/>
    <hyperlink ref="K56" r:id="rId64"/>
    <hyperlink ref="K27" r:id="rId65"/>
  </hyperlinks>
  <pageMargins left="0.7" right="0.7" top="0.75" bottom="0.75" header="0.3" footer="0.3"/>
  <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2024-04-24T15:43:24Z</dcterms:modified>
</cp:coreProperties>
</file>