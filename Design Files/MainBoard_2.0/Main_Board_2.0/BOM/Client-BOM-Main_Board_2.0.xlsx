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griffin-radarsystem-hw\Design Files\MainBoard_2.0\Main_Board_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9" i="1" l="1"/>
  <c r="B70" i="1" l="1"/>
  <c r="B71" i="1"/>
  <c r="B43" i="1"/>
  <c r="B17" i="1"/>
  <c r="B24" i="1" l="1"/>
  <c r="B68" i="1" l="1"/>
  <c r="B69" i="1"/>
  <c r="B72" i="1" l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2" i="1"/>
  <c r="B39" i="1"/>
  <c r="B41" i="1"/>
  <c r="B40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3" i="1"/>
  <c r="B22" i="1"/>
  <c r="B21" i="1"/>
  <c r="B20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<sst xmlns="http://schemas.openxmlformats.org/spreadsheetml/2006/main" count="501" uniqueCount="341">
  <si>
    <t>#</t>
  </si>
  <si>
    <t>Item Type</t>
  </si>
  <si>
    <t>Capacitor</t>
  </si>
  <si>
    <t>Ferrite Bead</t>
  </si>
  <si>
    <t>Connector</t>
  </si>
  <si>
    <t>Header</t>
  </si>
  <si>
    <t>Inductor</t>
  </si>
  <si>
    <t>LED</t>
  </si>
  <si>
    <t>RGB LED</t>
  </si>
  <si>
    <t>Mosfet</t>
  </si>
  <si>
    <t>MOSFET</t>
  </si>
  <si>
    <t>Resistor</t>
  </si>
  <si>
    <t>Resistors</t>
  </si>
  <si>
    <t>Tactile Switch</t>
  </si>
  <si>
    <t>Switch</t>
  </si>
  <si>
    <t>Slide Switche</t>
  </si>
  <si>
    <t>IC</t>
  </si>
  <si>
    <t>Crystals</t>
  </si>
  <si>
    <t>Crystal</t>
  </si>
  <si>
    <t>Designator</t>
  </si>
  <si>
    <t>C2, C3, C14, C23, C25, C26, C27, C28, C29, C30, C32, C52, C54, C57, C61, C65, C69, C73, C76, C90</t>
  </si>
  <si>
    <t>C4, C11, C18, C19, C20, C21, C50, C58, C60, C102</t>
  </si>
  <si>
    <t>C5, C7, C8, C9</t>
  </si>
  <si>
    <t>C6, C12, C15, C17, C55, C56, C81, C87</t>
  </si>
  <si>
    <t>C10, C103</t>
  </si>
  <si>
    <t>C13, C59</t>
  </si>
  <si>
    <t>C16</t>
  </si>
  <si>
    <t>C22, C24, C31, C34, C35, C36, C37, C38, C39, C40, C41</t>
  </si>
  <si>
    <t>C33, C62, C63, C64, C66, C67, C68, C70, C71, C72, C74, C75, C77, C78, C82, C83, C84, C85, C86, C88, C89, C91, C92</t>
  </si>
  <si>
    <t>C42, C43, C44, C45</t>
  </si>
  <si>
    <t>C48, C49</t>
  </si>
  <si>
    <t>C93, C94</t>
  </si>
  <si>
    <t>C95</t>
  </si>
  <si>
    <t>C101, C106</t>
  </si>
  <si>
    <t>FB1</t>
  </si>
  <si>
    <t>FB2, FB3, FB4, FB5</t>
  </si>
  <si>
    <t>J1</t>
  </si>
  <si>
    <t>J4</t>
  </si>
  <si>
    <t>L1, L2</t>
  </si>
  <si>
    <t>L3, L4, L5, L6</t>
  </si>
  <si>
    <t>LED1</t>
  </si>
  <si>
    <t>LED2</t>
  </si>
  <si>
    <t>LED3</t>
  </si>
  <si>
    <t>Q1</t>
  </si>
  <si>
    <t>Q2</t>
  </si>
  <si>
    <t>Q3</t>
  </si>
  <si>
    <t>R1, R6, R8</t>
  </si>
  <si>
    <t>R2</t>
  </si>
  <si>
    <t>R7</t>
  </si>
  <si>
    <t>R13</t>
  </si>
  <si>
    <t>R17</t>
  </si>
  <si>
    <t>R24, R25, R26, R27</t>
  </si>
  <si>
    <t>R44</t>
  </si>
  <si>
    <t>R46, R56</t>
  </si>
  <si>
    <t>R47, R50, R57</t>
  </si>
  <si>
    <t>R48, R54</t>
  </si>
  <si>
    <t>R59, R61</t>
  </si>
  <si>
    <t>R60</t>
  </si>
  <si>
    <t>SW1</t>
  </si>
  <si>
    <t>SW2, SW7</t>
  </si>
  <si>
    <t>SW3, SW4, SW5</t>
  </si>
  <si>
    <t>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</si>
  <si>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</si>
  <si>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</si>
  <si>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</si>
  <si>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</si>
  <si>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</si>
  <si>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</si>
  <si>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</si>
  <si>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</si>
  <si>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</si>
  <si>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</si>
  <si>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</si>
  <si>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U13</t>
  </si>
  <si>
    <t>X1</t>
  </si>
  <si>
    <t>X2</t>
  </si>
  <si>
    <t>X3</t>
  </si>
  <si>
    <t>Description</t>
  </si>
  <si>
    <t>CAP CER 0.1UF 16V X7R 0402</t>
  </si>
  <si>
    <t>CAP CER 10UF 16V X5R 0603</t>
  </si>
  <si>
    <t>CAP CER 1UF 16V X5R 0402</t>
  </si>
  <si>
    <t>CAP CER 22UF 10V X5R 0603</t>
  </si>
  <si>
    <t>CAP CER 2.2UF 25V X5R 0603</t>
  </si>
  <si>
    <t>CAP CER 10000PF 25V X7R 0402</t>
  </si>
  <si>
    <t>CAP CER 0.047UF 50V X7R 0402</t>
  </si>
  <si>
    <t>CAP CER 1000PF 25V X5R 0201</t>
  </si>
  <si>
    <t>CAP CER 22UF 25V X5R 1206</t>
  </si>
  <si>
    <t>CAP CER 0.22UF 25V X5R 0402</t>
  </si>
  <si>
    <t>CAP CER 390PF 50V C0G 0402</t>
  </si>
  <si>
    <t>CAP CER 4.7PF 50V C0G/NPO 0402</t>
  </si>
  <si>
    <t>CAP CER 19PF 50V C0G/NP0 0402</t>
  </si>
  <si>
    <t>CAP CER 4.7UF 16V X5R 0603</t>
  </si>
  <si>
    <t>CAP CER 18PF 25V C0G/NP0 0201</t>
  </si>
  <si>
    <t>FERRITE BEAD 120 OHM 1206 1LN</t>
  </si>
  <si>
    <t>FERRITE BEAD 100 OHM 0603 1LN</t>
  </si>
  <si>
    <t>Straight 2.54mm Black Brass 1x4P Plugin,P=2.54mm Pin Headers ROHS</t>
  </si>
  <si>
    <t>FIXED IND 1UH 5.8A 26 MOHM SMD</t>
  </si>
  <si>
    <t>FIXED IND 470NH 4A 0.027OHM SMD</t>
  </si>
  <si>
    <t>LED GREEN CLEAR CHIP SMD</t>
  </si>
  <si>
    <t>20mA White Diffused -40℃~+85℃ RGB SMD5050 Light Emitting Diodes (LED) ROHS</t>
  </si>
  <si>
    <t>TRANS NPN 40V 0.6A SMD SOT23-3</t>
  </si>
  <si>
    <t>MOSFET P-CH 12V 16A 8SO</t>
  </si>
  <si>
    <t>40V 100mW 100@10mA,1V 200mA 300MHz 300mV@50mA,5mA NPN -55℃~+150℃@(Tj) SOT-723 Bipolar Transistors - BJT ROHS</t>
  </si>
  <si>
    <t>RES 5.1K OHM 1% 1/16W 0402</t>
  </si>
  <si>
    <t>RES SMD 510 OHM 1% 1/16W 0402</t>
  </si>
  <si>
    <t>RES 1K OHM 1% 1/20W 0201</t>
  </si>
  <si>
    <t>RES 10K OHM 1% 1/16W 0402</t>
  </si>
  <si>
    <t>RES 0.01 OHM 1% 1W 1206</t>
  </si>
  <si>
    <t>RES 20K OHM 1% 1/10W 0603</t>
  </si>
  <si>
    <t>RES 1.96K OHM 1% 1/10W 0603</t>
  </si>
  <si>
    <t>RES 4.7K OHM 1% 1/16W 0402</t>
  </si>
  <si>
    <t>RES SMD 3.83 OHM 1% 1/16W 0402</t>
  </si>
  <si>
    <t>RES 0 OHM JUMPER 1/16W 0402</t>
  </si>
  <si>
    <t>50mW Thick Film Resistors ±1% 7.87kΩ 0201 Chip Resistor - Surface Mount ROHS</t>
  </si>
  <si>
    <t>82kΩ 0603 Chip Resistor - Surface Mount ROHS</t>
  </si>
  <si>
    <t>RES SMD 750 OHM 0.1% 1/8W 0805</t>
  </si>
  <si>
    <t>Res 80.6 Ohm 1% 1/16W 0402</t>
  </si>
  <si>
    <t>RES 280 OHM 0.5% 1/16W 0402</t>
  </si>
  <si>
    <t>SWITCH TACTILE SPST-NO 0.05A 12V</t>
  </si>
  <si>
    <t>SPST Black Flat dial, raised type 2.54mm 1 SMD,2.5x6mm DIP Switches ROHS</t>
  </si>
  <si>
    <t>SWITCH SLIDE SPDT 200MA 12V</t>
  </si>
  <si>
    <t>1.6-V TO 5.5-V, 20-M, 4-A LOW IQ</t>
  </si>
  <si>
    <t>IC CNTRLR ON/OFF W/DEB TSOT23-6</t>
  </si>
  <si>
    <t>IC FUEL GAUGE LI-ION 1CL 9DSBGA</t>
  </si>
  <si>
    <t>IC REG BOOST 5V 5A 10VSON</t>
  </si>
  <si>
    <t>IC BATT CHG LI-ION 1CELL 16WQFN</t>
  </si>
  <si>
    <t>Active Low 1 VSOF-5 Monitors &amp; Reset Circuits ROHS</t>
  </si>
  <si>
    <t>IC REG LINEAR 3.3V 700MA 4XDFN</t>
  </si>
  <si>
    <t>IC REG LINEAR 1.8V 450MA 4XDFN</t>
  </si>
  <si>
    <t>IC REG BUCK ADJ QUAD 26VQFN</t>
  </si>
  <si>
    <t>IC FLASH 16MBIT SPI/QUAD 8WSON</t>
  </si>
  <si>
    <t>IC MCU 32BIT 256KB FLASH 64LQFP</t>
  </si>
  <si>
    <t>Crystal 40.0000MHZ 8PF SMD</t>
  </si>
  <si>
    <t>CRYSTAL 32.7680KHZ 12.5PF SMD</t>
  </si>
  <si>
    <t>CRYSTAL 8.0000MHZ 12PF SMD</t>
  </si>
  <si>
    <t>Footprint</t>
  </si>
  <si>
    <t>Cap-0402</t>
  </si>
  <si>
    <t>Cap-0603</t>
  </si>
  <si>
    <t>CAP-0603</t>
  </si>
  <si>
    <t>CAP-0201</t>
  </si>
  <si>
    <t>Cap-1206</t>
  </si>
  <si>
    <t>IND-1206</t>
  </si>
  <si>
    <t>IND-0603 (1608 Metric)</t>
  </si>
  <si>
    <t>HDR1X4_</t>
  </si>
  <si>
    <t>IND-1008 (2520 Metric)</t>
  </si>
  <si>
    <t>LED-0402</t>
  </si>
  <si>
    <t>SMD5050</t>
  </si>
  <si>
    <t>SOT-23</t>
  </si>
  <si>
    <t>SOP-8</t>
  </si>
  <si>
    <t>SOT-723</t>
  </si>
  <si>
    <t>Res-0402</t>
  </si>
  <si>
    <t>Res-0201</t>
  </si>
  <si>
    <t>Res-1206</t>
  </si>
  <si>
    <t>Res-0603</t>
  </si>
  <si>
    <t>RES-0805</t>
  </si>
  <si>
    <t>B3U-1000P</t>
  </si>
  <si>
    <t>DSIC01LSGET</t>
  </si>
  <si>
    <t>CL-SB-12B-02T</t>
  </si>
  <si>
    <t>SOT-583</t>
  </si>
  <si>
    <t>TSOT-23-6</t>
  </si>
  <si>
    <t>DSBGA-9 (1.651x1.61)</t>
  </si>
  <si>
    <t>10-VSON (3x3)</t>
  </si>
  <si>
    <t>16-QFN (3x3).</t>
  </si>
  <si>
    <t>5-VSOF</t>
  </si>
  <si>
    <t>4-UDFN (1.0x1.0)</t>
  </si>
  <si>
    <t>26-VQFN-HR (4.5x4)</t>
  </si>
  <si>
    <t>180-FCBGA (15x15)</t>
  </si>
  <si>
    <t>8-WSON 6x5-mm</t>
  </si>
  <si>
    <t>64-LQFP (10x10)</t>
  </si>
  <si>
    <t>SMD2016-4P</t>
  </si>
  <si>
    <t>ECS-.327-12.5-16-TR</t>
  </si>
  <si>
    <t>SMD3225-4P</t>
  </si>
  <si>
    <t>Manufacturer Part Number</t>
  </si>
  <si>
    <t>CC0402JRX7R7BB104</t>
  </si>
  <si>
    <t>CC0603KRX5R7BB106</t>
  </si>
  <si>
    <t>CC0402KRX5R7BB105</t>
  </si>
  <si>
    <t>CC0603MRX5R6BB226</t>
  </si>
  <si>
    <t>CC0603KRX5R8BB225</t>
  </si>
  <si>
    <t>CC0402KRX7R8BB103</t>
  </si>
  <si>
    <t>CC0402KRX7R9BB473</t>
  </si>
  <si>
    <t>CC0201KRX5R8BB102</t>
  </si>
  <si>
    <t>C3216X5R1E226M160AB</t>
  </si>
  <si>
    <t>CC0402KRX5R8BB224</t>
  </si>
  <si>
    <t>CGA2B2C0G1H391J050BA</t>
  </si>
  <si>
    <t>CC0402BRNPO9BN4R7</t>
  </si>
  <si>
    <t>GJM1555C1H190GB01D</t>
  </si>
  <si>
    <t>CC0603KRX5R7BB475</t>
  </si>
  <si>
    <t>GJM0335C1E180GB01D</t>
  </si>
  <si>
    <t>BLM31PG121SN1L</t>
  </si>
  <si>
    <t>BLM18SP101SZ1D</t>
  </si>
  <si>
    <t>B-2100S04P-A110</t>
  </si>
  <si>
    <t>WPN4020H1R0MT</t>
  </si>
  <si>
    <t>DFE252012PD-R47M=P2</t>
  </si>
  <si>
    <t>XZVG68W-2</t>
  </si>
  <si>
    <t>MHP5050RGBDT</t>
  </si>
  <si>
    <t>MMBT2222A-7-F</t>
  </si>
  <si>
    <t>IRF7410TRPBF</t>
  </si>
  <si>
    <t>MMBT3904M</t>
  </si>
  <si>
    <t>RC0402FR-075K1L</t>
  </si>
  <si>
    <t>RT0402FRE07510RL</t>
  </si>
  <si>
    <t>RC0201FR-071KL</t>
  </si>
  <si>
    <t>RC0402FR-0710KL</t>
  </si>
  <si>
    <t>PA1206FRE470R01Z</t>
  </si>
  <si>
    <t>RC0603FR-0720KL</t>
  </si>
  <si>
    <t>RC0603FR-071K96L</t>
  </si>
  <si>
    <t>RC0402FR-074K7L</t>
  </si>
  <si>
    <t>CRCW04023R83FKED</t>
  </si>
  <si>
    <t>RC0402FR-070RL</t>
  </si>
  <si>
    <t>0201WMF7871TEE</t>
  </si>
  <si>
    <t>0603WAD8202T5E</t>
  </si>
  <si>
    <t>RT0805BRD07750RL</t>
  </si>
  <si>
    <t>RN73H1ETTP80R6F50</t>
  </si>
  <si>
    <t>RN73H1ETTP2800D50</t>
  </si>
  <si>
    <t>EVQ-P7A01P</t>
  </si>
  <si>
    <t>TPS2117DRLR</t>
  </si>
  <si>
    <t>MAX16054AZT+T</t>
  </si>
  <si>
    <t>BQ27426YZFR</t>
  </si>
  <si>
    <t>TPS61232DRCR</t>
  </si>
  <si>
    <t>BQ25302RTER</t>
  </si>
  <si>
    <t>BD4830FVE-TR</t>
  </si>
  <si>
    <t>NCP167BMX330TBG</t>
  </si>
  <si>
    <t>NCP161BMX180TBG</t>
  </si>
  <si>
    <t>LP87524JRNFRQ1</t>
  </si>
  <si>
    <t>AWR1843ARBGALPQ1</t>
  </si>
  <si>
    <t>MX25V1635FZNQ03</t>
  </si>
  <si>
    <t>STM32L433RCT6</t>
  </si>
  <si>
    <t>FW4000044Q</t>
  </si>
  <si>
    <t>ECS-80-12-33-JGN-TR</t>
  </si>
  <si>
    <t>Manufacturer</t>
  </si>
  <si>
    <t>Yageo</t>
  </si>
  <si>
    <t>TDK</t>
  </si>
  <si>
    <t>Murata</t>
  </si>
  <si>
    <t>Murata Electronics</t>
  </si>
  <si>
    <t>Ckmtw</t>
  </si>
  <si>
    <t>Amphenol ICC (FCI)</t>
  </si>
  <si>
    <t>Sunlord</t>
  </si>
  <si>
    <t>SunLED</t>
  </si>
  <si>
    <t>MEIHUA</t>
  </si>
  <si>
    <t>Diodes</t>
  </si>
  <si>
    <t>Infineon</t>
  </si>
  <si>
    <t>TECH PUBLIC</t>
  </si>
  <si>
    <t>Vishay Dale</t>
  </si>
  <si>
    <t>UNI-ROYAL(Uniroyal Elec)</t>
  </si>
  <si>
    <t>UNI-ROYAL</t>
  </si>
  <si>
    <t>KOA Speer</t>
  </si>
  <si>
    <t>Panasonic</t>
  </si>
  <si>
    <t>Omron</t>
  </si>
  <si>
    <t>DongGuan</t>
  </si>
  <si>
    <t>Nidec Copal</t>
  </si>
  <si>
    <t>Texas Instruments</t>
  </si>
  <si>
    <t>Maxim</t>
  </si>
  <si>
    <t>Rohm</t>
  </si>
  <si>
    <t>ON Semiconductor</t>
  </si>
  <si>
    <t>Macronix</t>
  </si>
  <si>
    <t>STMicroelectronics</t>
  </si>
  <si>
    <t>ECS International</t>
  </si>
  <si>
    <t>0.1uF</t>
  </si>
  <si>
    <t>10uF</t>
  </si>
  <si>
    <t>1uF</t>
  </si>
  <si>
    <t>22uF</t>
  </si>
  <si>
    <t>2.2uF</t>
  </si>
  <si>
    <t>10nF</t>
  </si>
  <si>
    <t>47nF</t>
  </si>
  <si>
    <t>1nF</t>
  </si>
  <si>
    <t>0.22uF</t>
  </si>
  <si>
    <t>390pF</t>
  </si>
  <si>
    <t>4.7pF</t>
  </si>
  <si>
    <t>19pF</t>
  </si>
  <si>
    <t>4.7uF</t>
  </si>
  <si>
    <t>18pF</t>
  </si>
  <si>
    <t>100MHz</t>
  </si>
  <si>
    <t>1uH</t>
  </si>
  <si>
    <t>5.1K</t>
  </si>
  <si>
    <t>510R</t>
  </si>
  <si>
    <t>1K</t>
  </si>
  <si>
    <t>10K</t>
  </si>
  <si>
    <t>10mR</t>
  </si>
  <si>
    <t>20K</t>
  </si>
  <si>
    <t>1.96K</t>
  </si>
  <si>
    <t>4.7K</t>
  </si>
  <si>
    <t>3.83R</t>
  </si>
  <si>
    <t>0R</t>
  </si>
  <si>
    <t>7.87k</t>
  </si>
  <si>
    <t>82K</t>
  </si>
  <si>
    <t>750R</t>
  </si>
  <si>
    <t>80.6R</t>
  </si>
  <si>
    <t>280R</t>
  </si>
  <si>
    <t>40 MHz</t>
  </si>
  <si>
    <t>32.768kHz</t>
  </si>
  <si>
    <t>8.0000MHZ</t>
  </si>
  <si>
    <t>Quantity</t>
  </si>
  <si>
    <t>Value</t>
  </si>
  <si>
    <t>Remarks</t>
  </si>
  <si>
    <t>-</t>
  </si>
  <si>
    <t>470nH</t>
  </si>
  <si>
    <t>Custom</t>
  </si>
  <si>
    <t>RF IC Transceiver General Purpose 76GHz ~ 81GHz SPI Interface 180-FCBGA (15x15)</t>
  </si>
  <si>
    <t>Peripheral</t>
  </si>
  <si>
    <t>3.7V Lithium polymer 8000mAh 7565121 Soft package battery For Power Bank Bluetooth Speakers Tablet DVD battery</t>
  </si>
  <si>
    <t>Battery</t>
  </si>
  <si>
    <t>J3</t>
  </si>
  <si>
    <t>J2</t>
  </si>
  <si>
    <t>CONN HEADER SMD 10POS 1.27MM</t>
  </si>
  <si>
    <t>20021121-00010C4LF</t>
  </si>
  <si>
    <t>C100</t>
  </si>
  <si>
    <t>R43</t>
  </si>
  <si>
    <t>CC1206KKX7RCBB472</t>
  </si>
  <si>
    <t>TYPE-C-31-M-12</t>
  </si>
  <si>
    <t>SM10B-SRSS-TB(LF)(SN)</t>
  </si>
  <si>
    <t>XZMDK68W-2</t>
  </si>
  <si>
    <t>RC0603FR-071ML</t>
  </si>
  <si>
    <t>CAP CER 4700PF 1KV X7R 1206</t>
  </si>
  <si>
    <t>4.7nF</t>
  </si>
  <si>
    <t>RES SMD 1M OHM 1% 1/10W 0603</t>
  </si>
  <si>
    <t>1M</t>
  </si>
  <si>
    <t>5A 1 16P Female Type-C SMD USB Connectors ROHS</t>
  </si>
  <si>
    <t>TYPE-C-31-M-12_</t>
  </si>
  <si>
    <t>Korean Hroparts Elec</t>
  </si>
  <si>
    <t>LED RED CLEAR CHIP SMD</t>
  </si>
  <si>
    <t>JST Connector</t>
  </si>
  <si>
    <t>CONN HEADER SMD R/A 10POS 1MM</t>
  </si>
  <si>
    <t>JST</t>
  </si>
  <si>
    <t>JUMPER 10SR-3S - 10SR-3S 4"</t>
  </si>
  <si>
    <t>JST Sales America Inc.</t>
  </si>
  <si>
    <t>A10SR10SR30K102B</t>
  </si>
  <si>
    <t>J-Link EDU Mini (8.08.91)</t>
  </si>
  <si>
    <t>Segger</t>
  </si>
  <si>
    <t xml:space="preserve">CP2102 </t>
  </si>
  <si>
    <t>CP2102 USB UART Board (Type C), USB To TTL (UART) Communication Module, USB-C Connector</t>
  </si>
  <si>
    <t>SEGGER 8.08.91 J-Link EDU Mini</t>
  </si>
  <si>
    <t>Waveshare</t>
  </si>
  <si>
    <t>R3, R5, R11, R15, R16, R38</t>
  </si>
  <si>
    <t>R12, R18, R19, R20, R39</t>
  </si>
  <si>
    <t>R4, R9, R10, R14, R21, R22, R23, R28, R29, R30, R31, R32, R33, R34, R35, R36, R37, R40, R41, R42, R45, R49, R55, R58</t>
  </si>
  <si>
    <t>Diode</t>
  </si>
  <si>
    <t>D1</t>
  </si>
  <si>
    <t>1A Single 50V 1.1V@1A SMA(DO-214AC) Diodes - General Purpose ROHS</t>
  </si>
  <si>
    <t>SMA(DO-214AC)</t>
  </si>
  <si>
    <t>1N4001</t>
  </si>
  <si>
    <t>TWGMC</t>
  </si>
  <si>
    <t>C1, C46, C47, C51, C53, C79, C80, C96, C97, C98, C99, C104, C105, C107, C109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</si>
</sst>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6" fillId="4" borderId="8" xfId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1005004274987553.html?gatewayAdapt=glo2v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2"/>
  <sheetViews>
    <sheetView tabSelected="1" topLeftCell="A58" workbookViewId="0">
      <selection activeCell="H89" sqref="H89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9.140625" bestFit="1" customWidth="1"/>
    <col min="10" max="10" width="8.7109375" bestFit="1" customWidth="1"/>
    <col min="11" max="11" width="29.42578125" customWidth="1"/>
    <col min="13" max="13" width="10.5703125" bestFit="1" customWidth="1"/>
    <col min="14" max="14" width="25.28515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24"/>
      <c r="J1" s="24"/>
      <c r="K1" s="24"/>
    </row>
    <row r="2" spans="1:11" ht="15.75" thickBot="1" x14ac:dyDescent="0.3">
      <c r="A2" s="1"/>
      <c r="B2" s="5" t="s">
        <v>0</v>
      </c>
      <c r="C2" s="5" t="s">
        <v>1</v>
      </c>
      <c r="D2" s="5" t="s">
        <v>19</v>
      </c>
      <c r="E2" s="6" t="s">
        <v>77</v>
      </c>
      <c r="F2" s="5" t="s">
        <v>135</v>
      </c>
      <c r="G2" s="6" t="s">
        <v>172</v>
      </c>
      <c r="H2" s="5" t="s">
        <v>228</v>
      </c>
      <c r="I2" s="6" t="s">
        <v>291</v>
      </c>
      <c r="J2" s="5" t="s">
        <v>290</v>
      </c>
      <c r="K2" s="5" t="s">
        <v>292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340</v>
      </c>
      <c r="E3" s="8" t="s">
        <v>78</v>
      </c>
      <c r="F3" s="7" t="s">
        <v>136</v>
      </c>
      <c r="G3" s="8" t="s">
        <v>173</v>
      </c>
      <c r="H3" s="7" t="s">
        <v>229</v>
      </c>
      <c r="I3" s="8" t="s">
        <v>256</v>
      </c>
      <c r="J3" s="7">
        <v>15</v>
      </c>
      <c r="K3" s="7"/>
    </row>
    <row r="4" spans="1:11" ht="24.75" thickBot="1" x14ac:dyDescent="0.3">
      <c r="A4" s="1"/>
      <c r="B4" s="11">
        <f t="shared" ref="B4:B66" si="0">ROW(B4) - ROW($B$2)</f>
        <v>2</v>
      </c>
      <c r="C4" s="13" t="s">
        <v>2</v>
      </c>
      <c r="D4" s="9" t="s">
        <v>20</v>
      </c>
      <c r="E4" s="10" t="s">
        <v>79</v>
      </c>
      <c r="F4" s="9" t="s">
        <v>137</v>
      </c>
      <c r="G4" s="10" t="s">
        <v>174</v>
      </c>
      <c r="H4" s="9" t="s">
        <v>229</v>
      </c>
      <c r="I4" s="10" t="s">
        <v>257</v>
      </c>
      <c r="J4" s="9">
        <v>20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21</v>
      </c>
      <c r="E5" s="8" t="s">
        <v>80</v>
      </c>
      <c r="F5" s="7" t="s">
        <v>136</v>
      </c>
      <c r="G5" s="8" t="s">
        <v>175</v>
      </c>
      <c r="H5" s="7" t="s">
        <v>229</v>
      </c>
      <c r="I5" s="8" t="s">
        <v>258</v>
      </c>
      <c r="J5" s="7">
        <v>10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22</v>
      </c>
      <c r="E6" s="10" t="s">
        <v>81</v>
      </c>
      <c r="F6" s="9" t="s">
        <v>137</v>
      </c>
      <c r="G6" s="10" t="s">
        <v>176</v>
      </c>
      <c r="H6" s="9" t="s">
        <v>229</v>
      </c>
      <c r="I6" s="10" t="s">
        <v>259</v>
      </c>
      <c r="J6" s="9">
        <v>4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23</v>
      </c>
      <c r="E7" s="8" t="s">
        <v>82</v>
      </c>
      <c r="F7" s="7" t="s">
        <v>138</v>
      </c>
      <c r="G7" s="8" t="s">
        <v>177</v>
      </c>
      <c r="H7" s="7" t="s">
        <v>229</v>
      </c>
      <c r="I7" s="8" t="s">
        <v>260</v>
      </c>
      <c r="J7" s="7">
        <v>8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24</v>
      </c>
      <c r="E8" s="10" t="s">
        <v>83</v>
      </c>
      <c r="F8" s="9" t="s">
        <v>136</v>
      </c>
      <c r="G8" s="10" t="s">
        <v>178</v>
      </c>
      <c r="H8" s="9" t="s">
        <v>229</v>
      </c>
      <c r="I8" s="10" t="s">
        <v>261</v>
      </c>
      <c r="J8" s="9">
        <v>2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25</v>
      </c>
      <c r="E9" s="8" t="s">
        <v>84</v>
      </c>
      <c r="F9" s="7" t="s">
        <v>136</v>
      </c>
      <c r="G9" s="8" t="s">
        <v>179</v>
      </c>
      <c r="H9" s="7" t="s">
        <v>229</v>
      </c>
      <c r="I9" s="8" t="s">
        <v>262</v>
      </c>
      <c r="J9" s="7">
        <v>2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26</v>
      </c>
      <c r="E10" s="10" t="s">
        <v>85</v>
      </c>
      <c r="F10" s="9" t="s">
        <v>139</v>
      </c>
      <c r="G10" s="10" t="s">
        <v>180</v>
      </c>
      <c r="H10" s="9" t="s">
        <v>229</v>
      </c>
      <c r="I10" s="10" t="s">
        <v>263</v>
      </c>
      <c r="J10" s="9">
        <v>1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2</v>
      </c>
      <c r="D11" s="7" t="s">
        <v>27</v>
      </c>
      <c r="E11" s="8" t="s">
        <v>86</v>
      </c>
      <c r="F11" s="7" t="s">
        <v>140</v>
      </c>
      <c r="G11" s="8" t="s">
        <v>181</v>
      </c>
      <c r="H11" s="7" t="s">
        <v>230</v>
      </c>
      <c r="I11" s="8" t="s">
        <v>259</v>
      </c>
      <c r="J11" s="7">
        <v>11</v>
      </c>
      <c r="K11" s="7"/>
    </row>
    <row r="12" spans="1:11" ht="36.75" thickBot="1" x14ac:dyDescent="0.3">
      <c r="A12" s="1"/>
      <c r="B12" s="11">
        <f t="shared" si="0"/>
        <v>10</v>
      </c>
      <c r="C12" s="12" t="s">
        <v>2</v>
      </c>
      <c r="D12" s="9" t="s">
        <v>28</v>
      </c>
      <c r="E12" s="10" t="s">
        <v>87</v>
      </c>
      <c r="F12" s="9" t="s">
        <v>136</v>
      </c>
      <c r="G12" s="10" t="s">
        <v>182</v>
      </c>
      <c r="H12" s="9" t="s">
        <v>229</v>
      </c>
      <c r="I12" s="10" t="s">
        <v>264</v>
      </c>
      <c r="J12" s="9">
        <v>23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29</v>
      </c>
      <c r="E13" s="8" t="s">
        <v>88</v>
      </c>
      <c r="F13" s="7" t="s">
        <v>136</v>
      </c>
      <c r="G13" s="8" t="s">
        <v>183</v>
      </c>
      <c r="H13" s="7" t="s">
        <v>230</v>
      </c>
      <c r="I13" s="8" t="s">
        <v>265</v>
      </c>
      <c r="J13" s="7">
        <v>4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30</v>
      </c>
      <c r="E14" s="10" t="s">
        <v>89</v>
      </c>
      <c r="F14" s="9" t="s">
        <v>136</v>
      </c>
      <c r="G14" s="10" t="s">
        <v>184</v>
      </c>
      <c r="H14" s="9" t="s">
        <v>229</v>
      </c>
      <c r="I14" s="10" t="s">
        <v>266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31</v>
      </c>
      <c r="E15" s="8" t="s">
        <v>90</v>
      </c>
      <c r="F15" s="7" t="s">
        <v>136</v>
      </c>
      <c r="G15" s="8" t="s">
        <v>185</v>
      </c>
      <c r="H15" s="7" t="s">
        <v>231</v>
      </c>
      <c r="I15" s="8" t="s">
        <v>267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32</v>
      </c>
      <c r="E16" s="10" t="s">
        <v>91</v>
      </c>
      <c r="F16" s="9" t="s">
        <v>137</v>
      </c>
      <c r="G16" s="10" t="s">
        <v>186</v>
      </c>
      <c r="H16" s="9" t="s">
        <v>229</v>
      </c>
      <c r="I16" s="10" t="s">
        <v>268</v>
      </c>
      <c r="J16" s="9">
        <v>1</v>
      </c>
      <c r="K16" s="9"/>
    </row>
    <row r="17" spans="1:11" ht="15.75" thickBot="1" x14ac:dyDescent="0.3">
      <c r="A17" s="1"/>
      <c r="B17" s="11">
        <f t="shared" si="0"/>
        <v>15</v>
      </c>
      <c r="C17" s="12" t="s">
        <v>2</v>
      </c>
      <c r="D17" s="7" t="s">
        <v>304</v>
      </c>
      <c r="E17" s="8" t="s">
        <v>311</v>
      </c>
      <c r="F17" s="7" t="s">
        <v>140</v>
      </c>
      <c r="G17" s="8" t="s">
        <v>306</v>
      </c>
      <c r="H17" s="7" t="s">
        <v>229</v>
      </c>
      <c r="I17" s="8" t="s">
        <v>312</v>
      </c>
      <c r="J17" s="7">
        <v>1</v>
      </c>
      <c r="K17" s="7"/>
    </row>
    <row r="18" spans="1:11" ht="15.75" thickBot="1" x14ac:dyDescent="0.3">
      <c r="A18" s="1"/>
      <c r="B18" s="11">
        <f>ROW(B18) - ROW($B$2)</f>
        <v>16</v>
      </c>
      <c r="C18" s="12" t="s">
        <v>2</v>
      </c>
      <c r="D18" s="7" t="s">
        <v>33</v>
      </c>
      <c r="E18" s="8" t="s">
        <v>92</v>
      </c>
      <c r="F18" s="7" t="s">
        <v>139</v>
      </c>
      <c r="G18" s="8" t="s">
        <v>187</v>
      </c>
      <c r="H18" s="7" t="s">
        <v>232</v>
      </c>
      <c r="I18" s="8" t="s">
        <v>269</v>
      </c>
      <c r="J18" s="7">
        <v>2</v>
      </c>
      <c r="K18" s="7"/>
    </row>
    <row r="19" spans="1:11" ht="36.75" thickBot="1" x14ac:dyDescent="0.3">
      <c r="A19" s="1"/>
      <c r="B19" s="11">
        <f>ROW(B19) - ROW($B$2)</f>
        <v>17</v>
      </c>
      <c r="C19" s="12" t="s">
        <v>334</v>
      </c>
      <c r="D19" s="7" t="s">
        <v>335</v>
      </c>
      <c r="E19" s="8" t="s">
        <v>336</v>
      </c>
      <c r="F19" s="7" t="s">
        <v>337</v>
      </c>
      <c r="G19" s="8" t="s">
        <v>338</v>
      </c>
      <c r="H19" s="7" t="s">
        <v>339</v>
      </c>
      <c r="I19" s="8" t="s">
        <v>338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3</v>
      </c>
      <c r="D20" s="9" t="s">
        <v>34</v>
      </c>
      <c r="E20" s="10" t="s">
        <v>93</v>
      </c>
      <c r="F20" s="9" t="s">
        <v>141</v>
      </c>
      <c r="G20" s="10" t="s">
        <v>188</v>
      </c>
      <c r="H20" s="9" t="s">
        <v>231</v>
      </c>
      <c r="I20" s="10" t="s">
        <v>270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3</v>
      </c>
      <c r="D21" s="7" t="s">
        <v>35</v>
      </c>
      <c r="E21" s="8" t="s">
        <v>94</v>
      </c>
      <c r="F21" s="7" t="s">
        <v>142</v>
      </c>
      <c r="G21" s="8" t="s">
        <v>189</v>
      </c>
      <c r="H21" s="7" t="s">
        <v>231</v>
      </c>
      <c r="I21" s="8" t="s">
        <v>270</v>
      </c>
      <c r="J21" s="7">
        <v>4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4</v>
      </c>
      <c r="D22" s="9" t="s">
        <v>36</v>
      </c>
      <c r="E22" s="8" t="s">
        <v>315</v>
      </c>
      <c r="F22" s="7" t="s">
        <v>316</v>
      </c>
      <c r="G22" s="8" t="s">
        <v>307</v>
      </c>
      <c r="H22" s="7" t="s">
        <v>317</v>
      </c>
      <c r="I22" s="8" t="s">
        <v>307</v>
      </c>
      <c r="J22" s="7">
        <v>1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5</v>
      </c>
      <c r="D23" s="7" t="s">
        <v>301</v>
      </c>
      <c r="E23" s="8" t="s">
        <v>95</v>
      </c>
      <c r="F23" s="7" t="s">
        <v>143</v>
      </c>
      <c r="G23" s="8" t="s">
        <v>190</v>
      </c>
      <c r="H23" s="7" t="s">
        <v>233</v>
      </c>
      <c r="I23" s="10" t="s">
        <v>293</v>
      </c>
      <c r="J23" s="7">
        <v>1</v>
      </c>
      <c r="K23" s="7"/>
    </row>
    <row r="24" spans="1:11" ht="15.75" thickBot="1" x14ac:dyDescent="0.3">
      <c r="A24" s="1"/>
      <c r="B24" s="11">
        <f>ROW(B24) - ROW($B$2)</f>
        <v>22</v>
      </c>
      <c r="C24" s="12" t="s">
        <v>5</v>
      </c>
      <c r="D24" s="7" t="s">
        <v>300</v>
      </c>
      <c r="E24" s="7" t="s">
        <v>302</v>
      </c>
      <c r="F24" s="7" t="s">
        <v>295</v>
      </c>
      <c r="G24" s="7" t="s">
        <v>303</v>
      </c>
      <c r="H24" s="7" t="s">
        <v>234</v>
      </c>
      <c r="I24" s="10" t="s">
        <v>293</v>
      </c>
      <c r="J24" s="7">
        <v>1</v>
      </c>
      <c r="K24" s="7"/>
    </row>
    <row r="25" spans="1:11" ht="15.75" thickBot="1" x14ac:dyDescent="0.3">
      <c r="A25" s="1"/>
      <c r="B25" s="11">
        <f t="shared" si="0"/>
        <v>23</v>
      </c>
      <c r="C25" s="13" t="s">
        <v>319</v>
      </c>
      <c r="D25" s="9" t="s">
        <v>37</v>
      </c>
      <c r="E25" s="10" t="s">
        <v>320</v>
      </c>
      <c r="F25" s="9" t="s">
        <v>308</v>
      </c>
      <c r="G25" s="10" t="s">
        <v>308</v>
      </c>
      <c r="H25" s="9" t="s">
        <v>321</v>
      </c>
      <c r="I25" s="10" t="s">
        <v>293</v>
      </c>
      <c r="J25" s="9">
        <v>1</v>
      </c>
      <c r="K25" s="9"/>
    </row>
    <row r="26" spans="1:11" ht="15.75" thickBot="1" x14ac:dyDescent="0.3">
      <c r="A26" s="1"/>
      <c r="B26" s="11">
        <f>ROW(B26) - ROW($B$2)</f>
        <v>24</v>
      </c>
      <c r="C26" s="12" t="s">
        <v>6</v>
      </c>
      <c r="D26" s="7" t="s">
        <v>38</v>
      </c>
      <c r="E26" s="8" t="s">
        <v>96</v>
      </c>
      <c r="F26" s="9" t="s">
        <v>295</v>
      </c>
      <c r="G26" s="8" t="s">
        <v>191</v>
      </c>
      <c r="H26" s="7" t="s">
        <v>235</v>
      </c>
      <c r="I26" s="8" t="s">
        <v>271</v>
      </c>
      <c r="J26" s="7">
        <v>2</v>
      </c>
      <c r="K26" s="7"/>
    </row>
    <row r="27" spans="1:11" ht="15.75" thickBot="1" x14ac:dyDescent="0.3">
      <c r="A27" s="1"/>
      <c r="B27" s="11">
        <f t="shared" si="0"/>
        <v>25</v>
      </c>
      <c r="C27" s="12" t="s">
        <v>6</v>
      </c>
      <c r="D27" s="9" t="s">
        <v>39</v>
      </c>
      <c r="E27" s="10" t="s">
        <v>97</v>
      </c>
      <c r="F27" s="9" t="s">
        <v>144</v>
      </c>
      <c r="G27" s="10" t="s">
        <v>192</v>
      </c>
      <c r="H27" s="9" t="s">
        <v>231</v>
      </c>
      <c r="I27" s="10" t="s">
        <v>294</v>
      </c>
      <c r="J27" s="9">
        <v>4</v>
      </c>
      <c r="K27" s="9"/>
    </row>
    <row r="28" spans="1:11" ht="15.75" thickBot="1" x14ac:dyDescent="0.3">
      <c r="A28" s="1"/>
      <c r="B28" s="11">
        <f>ROW(B28) - ROW($B$2)</f>
        <v>26</v>
      </c>
      <c r="C28" s="12" t="s">
        <v>7</v>
      </c>
      <c r="D28" s="7" t="s">
        <v>40</v>
      </c>
      <c r="E28" s="8" t="s">
        <v>98</v>
      </c>
      <c r="F28" s="7" t="s">
        <v>145</v>
      </c>
      <c r="G28" s="8" t="s">
        <v>193</v>
      </c>
      <c r="H28" s="7" t="s">
        <v>236</v>
      </c>
      <c r="I28" s="8" t="s">
        <v>293</v>
      </c>
      <c r="J28" s="7">
        <v>1</v>
      </c>
      <c r="K28" s="7"/>
    </row>
    <row r="29" spans="1:11" ht="15.75" thickBot="1" x14ac:dyDescent="0.3">
      <c r="A29" s="1"/>
      <c r="B29" s="11">
        <f t="shared" si="0"/>
        <v>27</v>
      </c>
      <c r="C29" s="13" t="s">
        <v>7</v>
      </c>
      <c r="D29" s="9" t="s">
        <v>41</v>
      </c>
      <c r="E29" s="10" t="s">
        <v>318</v>
      </c>
      <c r="F29" s="9" t="s">
        <v>145</v>
      </c>
      <c r="G29" s="10" t="s">
        <v>309</v>
      </c>
      <c r="H29" s="9" t="s">
        <v>236</v>
      </c>
      <c r="I29" s="10" t="s">
        <v>293</v>
      </c>
      <c r="J29" s="9">
        <v>1</v>
      </c>
      <c r="K29" s="9"/>
    </row>
    <row r="30" spans="1:11" ht="36.75" thickBot="1" x14ac:dyDescent="0.3">
      <c r="A30" s="1"/>
      <c r="B30" s="11">
        <f>ROW(B30) - ROW($B$2)</f>
        <v>28</v>
      </c>
      <c r="C30" s="12" t="s">
        <v>8</v>
      </c>
      <c r="D30" s="7" t="s">
        <v>42</v>
      </c>
      <c r="E30" s="8" t="s">
        <v>99</v>
      </c>
      <c r="F30" s="7" t="s">
        <v>146</v>
      </c>
      <c r="G30" s="8" t="s">
        <v>194</v>
      </c>
      <c r="H30" s="7" t="s">
        <v>237</v>
      </c>
      <c r="I30" s="8" t="s">
        <v>293</v>
      </c>
      <c r="J30" s="7">
        <v>1</v>
      </c>
      <c r="K30" s="7"/>
    </row>
    <row r="31" spans="1:11" ht="15.75" thickBot="1" x14ac:dyDescent="0.3">
      <c r="A31" s="1"/>
      <c r="B31" s="11">
        <f t="shared" si="0"/>
        <v>29</v>
      </c>
      <c r="C31" s="13" t="s">
        <v>9</v>
      </c>
      <c r="D31" s="9" t="s">
        <v>43</v>
      </c>
      <c r="E31" s="10" t="s">
        <v>100</v>
      </c>
      <c r="F31" s="9" t="s">
        <v>147</v>
      </c>
      <c r="G31" s="10" t="s">
        <v>195</v>
      </c>
      <c r="H31" s="9" t="s">
        <v>238</v>
      </c>
      <c r="I31" s="8" t="s">
        <v>293</v>
      </c>
      <c r="J31" s="9">
        <v>1</v>
      </c>
      <c r="K31" s="9"/>
    </row>
    <row r="32" spans="1:11" ht="15.75" thickBot="1" x14ac:dyDescent="0.3">
      <c r="A32" s="1"/>
      <c r="B32" s="11">
        <f>ROW(B32) - ROW($B$2)</f>
        <v>30</v>
      </c>
      <c r="C32" s="12" t="s">
        <v>10</v>
      </c>
      <c r="D32" s="7" t="s">
        <v>44</v>
      </c>
      <c r="E32" s="8" t="s">
        <v>101</v>
      </c>
      <c r="F32" s="7" t="s">
        <v>148</v>
      </c>
      <c r="G32" s="8" t="s">
        <v>196</v>
      </c>
      <c r="H32" s="7" t="s">
        <v>239</v>
      </c>
      <c r="I32" s="8" t="s">
        <v>293</v>
      </c>
      <c r="J32" s="7">
        <v>1</v>
      </c>
      <c r="K32" s="7"/>
    </row>
    <row r="33" spans="1:11" ht="48.75" thickBot="1" x14ac:dyDescent="0.3">
      <c r="A33" s="1"/>
      <c r="B33" s="11">
        <f t="shared" si="0"/>
        <v>31</v>
      </c>
      <c r="C33" s="13" t="s">
        <v>9</v>
      </c>
      <c r="D33" s="9" t="s">
        <v>45</v>
      </c>
      <c r="E33" s="10" t="s">
        <v>102</v>
      </c>
      <c r="F33" s="9" t="s">
        <v>149</v>
      </c>
      <c r="G33" s="10" t="s">
        <v>197</v>
      </c>
      <c r="H33" s="9" t="s">
        <v>240</v>
      </c>
      <c r="I33" s="8" t="s">
        <v>293</v>
      </c>
      <c r="J33" s="9">
        <v>1</v>
      </c>
      <c r="K33" s="9"/>
    </row>
    <row r="34" spans="1:11" ht="15.75" thickBot="1" x14ac:dyDescent="0.3">
      <c r="A34" s="1"/>
      <c r="B34" s="11">
        <f>ROW(B34) - ROW($B$2)</f>
        <v>32</v>
      </c>
      <c r="C34" s="12" t="s">
        <v>11</v>
      </c>
      <c r="D34" s="7" t="s">
        <v>46</v>
      </c>
      <c r="E34" s="8" t="s">
        <v>103</v>
      </c>
      <c r="F34" s="7" t="s">
        <v>150</v>
      </c>
      <c r="G34" s="8" t="s">
        <v>198</v>
      </c>
      <c r="H34" s="7" t="s">
        <v>229</v>
      </c>
      <c r="I34" s="8" t="s">
        <v>272</v>
      </c>
      <c r="J34" s="7">
        <v>3</v>
      </c>
      <c r="K34" s="7"/>
    </row>
    <row r="35" spans="1:11" ht="15.75" thickBot="1" x14ac:dyDescent="0.3">
      <c r="A35" s="1"/>
      <c r="B35" s="11">
        <f t="shared" si="0"/>
        <v>33</v>
      </c>
      <c r="C35" s="13" t="s">
        <v>11</v>
      </c>
      <c r="D35" s="9" t="s">
        <v>47</v>
      </c>
      <c r="E35" s="10" t="s">
        <v>104</v>
      </c>
      <c r="F35" s="9" t="s">
        <v>150</v>
      </c>
      <c r="G35" s="10" t="s">
        <v>199</v>
      </c>
      <c r="H35" s="9" t="s">
        <v>229</v>
      </c>
      <c r="I35" s="10" t="s">
        <v>273</v>
      </c>
      <c r="J35" s="9">
        <v>1</v>
      </c>
      <c r="K35" s="9"/>
    </row>
    <row r="36" spans="1:11" ht="15.75" thickBot="1" x14ac:dyDescent="0.3">
      <c r="A36" s="1"/>
      <c r="B36" s="11">
        <f>ROW(B36) - ROW($B$2)</f>
        <v>34</v>
      </c>
      <c r="C36" s="12" t="s">
        <v>11</v>
      </c>
      <c r="D36" s="7" t="s">
        <v>331</v>
      </c>
      <c r="E36" s="8" t="s">
        <v>105</v>
      </c>
      <c r="F36" s="7" t="s">
        <v>151</v>
      </c>
      <c r="G36" s="8" t="s">
        <v>200</v>
      </c>
      <c r="H36" s="7" t="s">
        <v>229</v>
      </c>
      <c r="I36" s="8" t="s">
        <v>274</v>
      </c>
      <c r="J36" s="7">
        <v>6</v>
      </c>
      <c r="K36" s="7"/>
    </row>
    <row r="37" spans="1:11" ht="36.75" thickBot="1" x14ac:dyDescent="0.3">
      <c r="A37" s="1"/>
      <c r="B37" s="11">
        <f t="shared" si="0"/>
        <v>35</v>
      </c>
      <c r="C37" s="13" t="s">
        <v>11</v>
      </c>
      <c r="D37" s="9" t="s">
        <v>333</v>
      </c>
      <c r="E37" s="10" t="s">
        <v>106</v>
      </c>
      <c r="F37" s="9" t="s">
        <v>150</v>
      </c>
      <c r="G37" s="10" t="s">
        <v>201</v>
      </c>
      <c r="H37" s="9" t="s">
        <v>229</v>
      </c>
      <c r="I37" s="10" t="s">
        <v>275</v>
      </c>
      <c r="J37" s="9">
        <v>24</v>
      </c>
      <c r="K37" s="9"/>
    </row>
    <row r="38" spans="1:11" ht="15.75" thickBot="1" x14ac:dyDescent="0.3">
      <c r="A38" s="1"/>
      <c r="B38" s="11">
        <f>ROW(B38) - ROW($B$2)</f>
        <v>36</v>
      </c>
      <c r="C38" s="12" t="s">
        <v>12</v>
      </c>
      <c r="D38" s="7" t="s">
        <v>48</v>
      </c>
      <c r="E38" s="8" t="s">
        <v>107</v>
      </c>
      <c r="F38" s="7" t="s">
        <v>152</v>
      </c>
      <c r="G38" s="8" t="s">
        <v>202</v>
      </c>
      <c r="H38" s="7" t="s">
        <v>229</v>
      </c>
      <c r="I38" s="8" t="s">
        <v>276</v>
      </c>
      <c r="J38" s="7">
        <v>1</v>
      </c>
      <c r="K38" s="7"/>
    </row>
    <row r="39" spans="1:11" ht="15.75" thickBot="1" x14ac:dyDescent="0.3">
      <c r="A39" s="1"/>
      <c r="B39" s="11">
        <f>ROW(B39) - ROW($B$2)</f>
        <v>37</v>
      </c>
      <c r="C39" s="13" t="s">
        <v>11</v>
      </c>
      <c r="D39" s="9" t="s">
        <v>332</v>
      </c>
      <c r="E39" s="10" t="s">
        <v>110</v>
      </c>
      <c r="F39" s="9" t="s">
        <v>150</v>
      </c>
      <c r="G39" s="10" t="s">
        <v>205</v>
      </c>
      <c r="H39" s="9" t="s">
        <v>229</v>
      </c>
      <c r="I39" s="10" t="s">
        <v>279</v>
      </c>
      <c r="J39" s="9">
        <v>5</v>
      </c>
      <c r="K39" s="9"/>
    </row>
    <row r="40" spans="1:11" ht="15.75" thickBot="1" x14ac:dyDescent="0.3">
      <c r="A40" s="1"/>
      <c r="B40" s="11">
        <f t="shared" si="0"/>
        <v>38</v>
      </c>
      <c r="C40" s="13" t="s">
        <v>11</v>
      </c>
      <c r="D40" s="9" t="s">
        <v>49</v>
      </c>
      <c r="E40" s="10" t="s">
        <v>108</v>
      </c>
      <c r="F40" s="9" t="s">
        <v>153</v>
      </c>
      <c r="G40" s="10" t="s">
        <v>203</v>
      </c>
      <c r="H40" s="9" t="s">
        <v>229</v>
      </c>
      <c r="I40" s="10" t="s">
        <v>277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3" t="s">
        <v>11</v>
      </c>
      <c r="D41" s="7" t="s">
        <v>50</v>
      </c>
      <c r="E41" s="8" t="s">
        <v>109</v>
      </c>
      <c r="F41" s="7" t="s">
        <v>153</v>
      </c>
      <c r="G41" s="8" t="s">
        <v>204</v>
      </c>
      <c r="H41" s="7" t="s">
        <v>229</v>
      </c>
      <c r="I41" s="8" t="s">
        <v>278</v>
      </c>
      <c r="J41" s="7">
        <v>1</v>
      </c>
      <c r="K41" s="7"/>
    </row>
    <row r="42" spans="1:11" ht="15.75" thickBot="1" x14ac:dyDescent="0.3">
      <c r="A42" s="1"/>
      <c r="B42" s="11">
        <f>ROW(B42) - ROW($B$2)</f>
        <v>40</v>
      </c>
      <c r="C42" s="12" t="s">
        <v>12</v>
      </c>
      <c r="D42" s="7" t="s">
        <v>51</v>
      </c>
      <c r="E42" s="8" t="s">
        <v>111</v>
      </c>
      <c r="F42" s="7" t="s">
        <v>150</v>
      </c>
      <c r="G42" s="8" t="s">
        <v>206</v>
      </c>
      <c r="H42" s="7" t="s">
        <v>241</v>
      </c>
      <c r="I42" s="8" t="s">
        <v>280</v>
      </c>
      <c r="J42" s="7">
        <v>4</v>
      </c>
      <c r="K42" s="7"/>
    </row>
    <row r="43" spans="1:11" ht="15.75" thickBot="1" x14ac:dyDescent="0.3">
      <c r="A43" s="1"/>
      <c r="B43" s="11">
        <f>ROW(B43) - ROW($B$2)</f>
        <v>41</v>
      </c>
      <c r="C43" s="13" t="s">
        <v>11</v>
      </c>
      <c r="D43" s="9" t="s">
        <v>305</v>
      </c>
      <c r="E43" s="10" t="s">
        <v>313</v>
      </c>
      <c r="F43" s="9" t="s">
        <v>153</v>
      </c>
      <c r="G43" s="10" t="s">
        <v>310</v>
      </c>
      <c r="H43" s="9" t="s">
        <v>229</v>
      </c>
      <c r="I43" s="10" t="s">
        <v>314</v>
      </c>
      <c r="J43" s="9">
        <v>1</v>
      </c>
      <c r="K43" s="9"/>
    </row>
    <row r="44" spans="1:11" ht="15.75" thickBot="1" x14ac:dyDescent="0.3">
      <c r="A44" s="1"/>
      <c r="B44" s="11">
        <f t="shared" si="0"/>
        <v>42</v>
      </c>
      <c r="C44" s="12" t="s">
        <v>12</v>
      </c>
      <c r="D44" s="9" t="s">
        <v>52</v>
      </c>
      <c r="E44" s="10" t="s">
        <v>112</v>
      </c>
      <c r="F44" s="9" t="s">
        <v>150</v>
      </c>
      <c r="G44" s="10" t="s">
        <v>207</v>
      </c>
      <c r="H44" s="9" t="s">
        <v>229</v>
      </c>
      <c r="I44" s="10" t="s">
        <v>281</v>
      </c>
      <c r="J44" s="9">
        <v>1</v>
      </c>
      <c r="K44" s="9"/>
    </row>
    <row r="45" spans="1:11" ht="36.75" thickBot="1" x14ac:dyDescent="0.3">
      <c r="A45" s="1"/>
      <c r="B45" s="11">
        <f>ROW(B45) - ROW($B$2)</f>
        <v>43</v>
      </c>
      <c r="C45" s="12" t="s">
        <v>11</v>
      </c>
      <c r="D45" s="7" t="s">
        <v>53</v>
      </c>
      <c r="E45" s="8" t="s">
        <v>113</v>
      </c>
      <c r="F45" s="7" t="s">
        <v>151</v>
      </c>
      <c r="G45" s="8" t="s">
        <v>208</v>
      </c>
      <c r="H45" s="7" t="s">
        <v>242</v>
      </c>
      <c r="I45" s="8" t="s">
        <v>282</v>
      </c>
      <c r="J45" s="7">
        <v>2</v>
      </c>
      <c r="K45" s="7"/>
    </row>
    <row r="46" spans="1:11" ht="24.75" thickBot="1" x14ac:dyDescent="0.3">
      <c r="A46" s="1"/>
      <c r="B46" s="11">
        <f t="shared" si="0"/>
        <v>44</v>
      </c>
      <c r="C46" s="13" t="s">
        <v>11</v>
      </c>
      <c r="D46" s="9" t="s">
        <v>54</v>
      </c>
      <c r="E46" s="10" t="s">
        <v>114</v>
      </c>
      <c r="F46" s="9" t="s">
        <v>153</v>
      </c>
      <c r="G46" s="10" t="s">
        <v>209</v>
      </c>
      <c r="H46" s="9" t="s">
        <v>243</v>
      </c>
      <c r="I46" s="10" t="s">
        <v>283</v>
      </c>
      <c r="J46" s="9">
        <v>3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11</v>
      </c>
      <c r="D47" s="7" t="s">
        <v>55</v>
      </c>
      <c r="E47" s="8" t="s">
        <v>115</v>
      </c>
      <c r="F47" s="7" t="s">
        <v>154</v>
      </c>
      <c r="G47" s="8" t="s">
        <v>210</v>
      </c>
      <c r="H47" s="7" t="s">
        <v>229</v>
      </c>
      <c r="I47" s="8" t="s">
        <v>284</v>
      </c>
      <c r="J47" s="7">
        <v>2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11</v>
      </c>
      <c r="D48" s="9" t="s">
        <v>56</v>
      </c>
      <c r="E48" s="10" t="s">
        <v>116</v>
      </c>
      <c r="F48" s="9" t="s">
        <v>150</v>
      </c>
      <c r="G48" s="10" t="s">
        <v>211</v>
      </c>
      <c r="H48" s="9" t="s">
        <v>244</v>
      </c>
      <c r="I48" s="10" t="s">
        <v>285</v>
      </c>
      <c r="J48" s="9">
        <v>2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11</v>
      </c>
      <c r="D49" s="7" t="s">
        <v>57</v>
      </c>
      <c r="E49" s="8" t="s">
        <v>117</v>
      </c>
      <c r="F49" s="7" t="s">
        <v>150</v>
      </c>
      <c r="G49" s="8" t="s">
        <v>212</v>
      </c>
      <c r="H49" s="7" t="s">
        <v>244</v>
      </c>
      <c r="I49" s="8" t="s">
        <v>286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13</v>
      </c>
      <c r="D50" s="9" t="s">
        <v>58</v>
      </c>
      <c r="E50" s="10" t="s">
        <v>118</v>
      </c>
      <c r="F50" s="9" t="s">
        <v>295</v>
      </c>
      <c r="G50" s="10" t="s">
        <v>213</v>
      </c>
      <c r="H50" s="9" t="s">
        <v>245</v>
      </c>
      <c r="I50" s="10" t="s">
        <v>293</v>
      </c>
      <c r="J50" s="9">
        <v>1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14</v>
      </c>
      <c r="D51" s="7" t="s">
        <v>59</v>
      </c>
      <c r="E51" s="8" t="s">
        <v>118</v>
      </c>
      <c r="F51" s="9" t="s">
        <v>295</v>
      </c>
      <c r="G51" s="8" t="s">
        <v>155</v>
      </c>
      <c r="H51" s="7" t="s">
        <v>246</v>
      </c>
      <c r="I51" s="10" t="s">
        <v>293</v>
      </c>
      <c r="J51" s="7">
        <v>2</v>
      </c>
      <c r="K51" s="7"/>
    </row>
    <row r="52" spans="1:11" ht="36.75" thickBot="1" x14ac:dyDescent="0.3">
      <c r="A52" s="1"/>
      <c r="B52" s="11">
        <f t="shared" si="0"/>
        <v>50</v>
      </c>
      <c r="C52" s="13" t="s">
        <v>14</v>
      </c>
      <c r="D52" s="9" t="s">
        <v>60</v>
      </c>
      <c r="E52" s="10" t="s">
        <v>119</v>
      </c>
      <c r="F52" s="9" t="s">
        <v>295</v>
      </c>
      <c r="G52" s="10" t="s">
        <v>156</v>
      </c>
      <c r="H52" s="9" t="s">
        <v>247</v>
      </c>
      <c r="I52" s="10" t="s">
        <v>293</v>
      </c>
      <c r="J52" s="9">
        <v>3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15</v>
      </c>
      <c r="D53" s="7" t="s">
        <v>61</v>
      </c>
      <c r="E53" s="8" t="s">
        <v>120</v>
      </c>
      <c r="F53" s="9" t="s">
        <v>295</v>
      </c>
      <c r="G53" s="8" t="s">
        <v>157</v>
      </c>
      <c r="H53" s="7" t="s">
        <v>248</v>
      </c>
      <c r="I53" s="10" t="s">
        <v>293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16</v>
      </c>
      <c r="D54" s="9" t="s">
        <v>62</v>
      </c>
      <c r="E54" s="10" t="s">
        <v>121</v>
      </c>
      <c r="F54" s="9" t="s">
        <v>158</v>
      </c>
      <c r="G54" s="10" t="s">
        <v>214</v>
      </c>
      <c r="H54" s="9" t="s">
        <v>249</v>
      </c>
      <c r="I54" s="10" t="s">
        <v>293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16</v>
      </c>
      <c r="D55" s="7" t="s">
        <v>63</v>
      </c>
      <c r="E55" s="8" t="s">
        <v>122</v>
      </c>
      <c r="F55" s="7" t="s">
        <v>159</v>
      </c>
      <c r="G55" s="8" t="s">
        <v>215</v>
      </c>
      <c r="H55" s="7" t="s">
        <v>250</v>
      </c>
      <c r="I55" s="10" t="s">
        <v>293</v>
      </c>
      <c r="J55" s="7">
        <v>1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16</v>
      </c>
      <c r="D56" s="9" t="s">
        <v>64</v>
      </c>
      <c r="E56" s="10" t="s">
        <v>123</v>
      </c>
      <c r="F56" s="9" t="s">
        <v>160</v>
      </c>
      <c r="G56" s="10" t="s">
        <v>216</v>
      </c>
      <c r="H56" s="9" t="s">
        <v>249</v>
      </c>
      <c r="I56" s="10" t="s">
        <v>293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16</v>
      </c>
      <c r="D57" s="7" t="s">
        <v>65</v>
      </c>
      <c r="E57" s="8" t="s">
        <v>124</v>
      </c>
      <c r="F57" s="7" t="s">
        <v>161</v>
      </c>
      <c r="G57" s="8" t="s">
        <v>217</v>
      </c>
      <c r="H57" s="7" t="s">
        <v>249</v>
      </c>
      <c r="I57" s="10" t="s">
        <v>293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2" t="s">
        <v>16</v>
      </c>
      <c r="D58" s="9" t="s">
        <v>66</v>
      </c>
      <c r="E58" s="10" t="s">
        <v>125</v>
      </c>
      <c r="F58" s="9" t="s">
        <v>162</v>
      </c>
      <c r="G58" s="10" t="s">
        <v>218</v>
      </c>
      <c r="H58" s="9" t="s">
        <v>249</v>
      </c>
      <c r="I58" s="10" t="s">
        <v>293</v>
      </c>
      <c r="J58" s="9">
        <v>1</v>
      </c>
      <c r="K58" s="9"/>
    </row>
    <row r="59" spans="1:11" ht="24.75" thickBot="1" x14ac:dyDescent="0.3">
      <c r="A59" s="1"/>
      <c r="B59" s="11">
        <f>ROW(B59) - ROW($B$2)</f>
        <v>57</v>
      </c>
      <c r="C59" s="12" t="s">
        <v>16</v>
      </c>
      <c r="D59" s="7" t="s">
        <v>67</v>
      </c>
      <c r="E59" s="8" t="s">
        <v>126</v>
      </c>
      <c r="F59" s="7" t="s">
        <v>163</v>
      </c>
      <c r="G59" s="8" t="s">
        <v>219</v>
      </c>
      <c r="H59" s="7" t="s">
        <v>251</v>
      </c>
      <c r="I59" s="10" t="s">
        <v>293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16</v>
      </c>
      <c r="D60" s="9" t="s">
        <v>68</v>
      </c>
      <c r="E60" s="10" t="s">
        <v>127</v>
      </c>
      <c r="F60" s="9" t="s">
        <v>164</v>
      </c>
      <c r="G60" s="10" t="s">
        <v>220</v>
      </c>
      <c r="H60" s="9" t="s">
        <v>252</v>
      </c>
      <c r="I60" s="10" t="s">
        <v>293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16</v>
      </c>
      <c r="D61" s="7" t="s">
        <v>69</v>
      </c>
      <c r="E61" s="8" t="s">
        <v>128</v>
      </c>
      <c r="F61" s="7" t="s">
        <v>164</v>
      </c>
      <c r="G61" s="8" t="s">
        <v>221</v>
      </c>
      <c r="H61" s="7" t="s">
        <v>252</v>
      </c>
      <c r="I61" s="10" t="s">
        <v>293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16</v>
      </c>
      <c r="D62" s="9" t="s">
        <v>70</v>
      </c>
      <c r="E62" s="10" t="s">
        <v>129</v>
      </c>
      <c r="F62" s="9" t="s">
        <v>165</v>
      </c>
      <c r="G62" s="10" t="s">
        <v>222</v>
      </c>
      <c r="H62" s="9" t="s">
        <v>249</v>
      </c>
      <c r="I62" s="10" t="s">
        <v>293</v>
      </c>
      <c r="J62" s="9">
        <v>1</v>
      </c>
      <c r="K62" s="9"/>
    </row>
    <row r="63" spans="1:11" ht="36.75" thickBot="1" x14ac:dyDescent="0.3">
      <c r="A63" s="1"/>
      <c r="B63" s="11">
        <f>ROW(B63) - ROW($B$2)</f>
        <v>61</v>
      </c>
      <c r="C63" s="12" t="s">
        <v>16</v>
      </c>
      <c r="D63" s="7" t="s">
        <v>71</v>
      </c>
      <c r="E63" s="8" t="s">
        <v>296</v>
      </c>
      <c r="F63" s="7" t="s">
        <v>166</v>
      </c>
      <c r="G63" s="8" t="s">
        <v>223</v>
      </c>
      <c r="H63" s="7" t="s">
        <v>249</v>
      </c>
      <c r="I63" s="10" t="s">
        <v>293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16</v>
      </c>
      <c r="D64" s="9" t="s">
        <v>72</v>
      </c>
      <c r="E64" s="10" t="s">
        <v>130</v>
      </c>
      <c r="F64" s="9" t="s">
        <v>167</v>
      </c>
      <c r="G64" s="10" t="s">
        <v>224</v>
      </c>
      <c r="H64" s="9" t="s">
        <v>253</v>
      </c>
      <c r="I64" s="10" t="s">
        <v>293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16</v>
      </c>
      <c r="D65" s="7" t="s">
        <v>73</v>
      </c>
      <c r="E65" s="8" t="s">
        <v>131</v>
      </c>
      <c r="F65" s="7" t="s">
        <v>168</v>
      </c>
      <c r="G65" s="8" t="s">
        <v>225</v>
      </c>
      <c r="H65" s="7" t="s">
        <v>254</v>
      </c>
      <c r="I65" s="10" t="s">
        <v>293</v>
      </c>
      <c r="J65" s="7">
        <v>1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17</v>
      </c>
      <c r="D66" s="9" t="s">
        <v>74</v>
      </c>
      <c r="E66" s="10" t="s">
        <v>132</v>
      </c>
      <c r="F66" s="9" t="s">
        <v>169</v>
      </c>
      <c r="G66" s="10" t="s">
        <v>226</v>
      </c>
      <c r="H66" s="9" t="s">
        <v>238</v>
      </c>
      <c r="I66" s="10" t="s">
        <v>287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18</v>
      </c>
      <c r="D67" s="7" t="s">
        <v>75</v>
      </c>
      <c r="E67" s="8" t="s">
        <v>133</v>
      </c>
      <c r="F67" s="9" t="s">
        <v>295</v>
      </c>
      <c r="G67" s="8" t="s">
        <v>170</v>
      </c>
      <c r="H67" s="7" t="s">
        <v>255</v>
      </c>
      <c r="I67" s="8" t="s">
        <v>288</v>
      </c>
      <c r="J67" s="7">
        <v>1</v>
      </c>
      <c r="K67" s="7"/>
    </row>
    <row r="68" spans="1:11" ht="15.75" thickBot="1" x14ac:dyDescent="0.3">
      <c r="A68" s="1"/>
      <c r="B68" s="11">
        <f t="shared" ref="B68:B71" si="1">ROW(B68) - ROW($B$2)</f>
        <v>66</v>
      </c>
      <c r="C68" s="13" t="s">
        <v>18</v>
      </c>
      <c r="D68" s="9" t="s">
        <v>76</v>
      </c>
      <c r="E68" s="10" t="s">
        <v>134</v>
      </c>
      <c r="F68" s="9" t="s">
        <v>171</v>
      </c>
      <c r="G68" s="10" t="s">
        <v>227</v>
      </c>
      <c r="H68" s="9" t="s">
        <v>255</v>
      </c>
      <c r="I68" s="10" t="s">
        <v>289</v>
      </c>
      <c r="J68" s="9">
        <v>1</v>
      </c>
      <c r="K68" s="9"/>
    </row>
    <row r="69" spans="1:11" ht="15.75" thickBot="1" x14ac:dyDescent="0.3">
      <c r="A69" s="1"/>
      <c r="B69" s="11">
        <f t="shared" si="1"/>
        <v>67</v>
      </c>
      <c r="C69" s="19" t="s">
        <v>297</v>
      </c>
      <c r="D69" s="22" t="s">
        <v>293</v>
      </c>
      <c r="E69" s="23" t="s">
        <v>322</v>
      </c>
      <c r="F69" s="22" t="s">
        <v>295</v>
      </c>
      <c r="G69" s="23" t="s">
        <v>324</v>
      </c>
      <c r="H69" s="22" t="s">
        <v>323</v>
      </c>
      <c r="I69" s="23" t="s">
        <v>293</v>
      </c>
      <c r="J69" s="22">
        <v>1</v>
      </c>
      <c r="K69" s="22"/>
    </row>
    <row r="70" spans="1:11" ht="15.75" thickBot="1" x14ac:dyDescent="0.3">
      <c r="A70" s="1"/>
      <c r="B70" s="11">
        <f t="shared" si="1"/>
        <v>68</v>
      </c>
      <c r="C70" s="19" t="s">
        <v>297</v>
      </c>
      <c r="D70" s="22" t="s">
        <v>293</v>
      </c>
      <c r="E70" s="23" t="s">
        <v>329</v>
      </c>
      <c r="F70" s="22" t="s">
        <v>295</v>
      </c>
      <c r="G70" s="23" t="s">
        <v>325</v>
      </c>
      <c r="H70" s="22" t="s">
        <v>326</v>
      </c>
      <c r="I70" s="23" t="s">
        <v>293</v>
      </c>
      <c r="J70" s="22">
        <v>1</v>
      </c>
      <c r="K70" s="22"/>
    </row>
    <row r="71" spans="1:11" ht="36.75" thickBot="1" x14ac:dyDescent="0.3">
      <c r="A71" s="1"/>
      <c r="B71" s="11">
        <f t="shared" si="1"/>
        <v>69</v>
      </c>
      <c r="C71" s="14" t="s">
        <v>297</v>
      </c>
      <c r="D71" s="20" t="s">
        <v>293</v>
      </c>
      <c r="E71" s="21" t="s">
        <v>328</v>
      </c>
      <c r="F71" s="22" t="s">
        <v>295</v>
      </c>
      <c r="G71" s="21" t="s">
        <v>327</v>
      </c>
      <c r="H71" s="20" t="s">
        <v>330</v>
      </c>
      <c r="I71" s="21" t="s">
        <v>293</v>
      </c>
      <c r="J71" s="20">
        <v>1</v>
      </c>
      <c r="K71" s="20"/>
    </row>
    <row r="72" spans="1:11" ht="48.75" thickBot="1" x14ac:dyDescent="0.3">
      <c r="A72" s="1"/>
      <c r="B72" s="11">
        <f>ROW(B72) - ROW($B$2)</f>
        <v>70</v>
      </c>
      <c r="C72" s="15" t="s">
        <v>297</v>
      </c>
      <c r="D72" s="16" t="s">
        <v>293</v>
      </c>
      <c r="E72" s="17" t="s">
        <v>298</v>
      </c>
      <c r="F72" s="16" t="s">
        <v>293</v>
      </c>
      <c r="G72" s="17" t="s">
        <v>299</v>
      </c>
      <c r="H72" s="16" t="s">
        <v>293</v>
      </c>
      <c r="I72" s="17" t="s">
        <v>293</v>
      </c>
      <c r="J72" s="16">
        <v>1</v>
      </c>
      <c r="K72" s="18" t="s">
        <v>299</v>
      </c>
    </row>
  </sheetData>
  <mergeCells count="1">
    <mergeCell ref="I1:K1"/>
  </mergeCells>
  <hyperlinks>
    <hyperlink ref="K72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2024-04-29T15:44:01Z</dcterms:modified>
</cp:coreProperties>
</file>