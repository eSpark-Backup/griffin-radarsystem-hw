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griffin-radarsystem-hw\Design Files\SecondaryBoard_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8" i="1" l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<sst xmlns="http://schemas.openxmlformats.org/spreadsheetml/2006/main" count="52" uniqueCount="46">
  <si>
    <t>#</t>
  </si>
  <si>
    <t>Item Type</t>
  </si>
  <si>
    <t>Capacitor</t>
  </si>
  <si>
    <t>Ferrite Bead</t>
  </si>
  <si>
    <t>JST Connector</t>
  </si>
  <si>
    <t>IC</t>
  </si>
  <si>
    <t>Crystal</t>
  </si>
  <si>
    <t>Designator</t>
  </si>
  <si>
    <t>C1, C2, C3, C6</t>
  </si>
  <si>
    <t>C4, C5</t>
  </si>
  <si>
    <t>FB1, FB2</t>
  </si>
  <si>
    <t>J1</t>
  </si>
  <si>
    <t>U1</t>
  </si>
  <si>
    <t>X1</t>
  </si>
  <si>
    <t>Description</t>
  </si>
  <si>
    <t>CAP CER 1UF 10V X5R 0402</t>
  </si>
  <si>
    <t>50V 8pF C0G 0402 Multilayer Ceramic Capacitors MLCC - SMD/SMT ROHS</t>
  </si>
  <si>
    <t>FERRITE BEAD 120 OHM 0402 1LN</t>
  </si>
  <si>
    <t>CONN HEADER SMD R/A 10POS 1MM</t>
  </si>
  <si>
    <t>RADAR SENSOR SYSTEM-IN-PACKAGE B</t>
  </si>
  <si>
    <t>CRYSTAL 24.0000MHZ 8PF SMD</t>
  </si>
  <si>
    <t>Footprint</t>
  </si>
  <si>
    <t>Cap-0402</t>
  </si>
  <si>
    <t>IND-0402</t>
  </si>
  <si>
    <t>SM10B-SRSS-TB(LF)(SN)</t>
  </si>
  <si>
    <t>50-FCCSP (5.2x5.5)</t>
  </si>
  <si>
    <t>SMD2520-4P</t>
  </si>
  <si>
    <t>Manufacturer Part Number</t>
  </si>
  <si>
    <t>CC0402KRX5R6BB105</t>
  </si>
  <si>
    <t>0402CG8R0C500NT</t>
  </si>
  <si>
    <t>BLM15PD121SN1D</t>
  </si>
  <si>
    <t>A121-001-T&amp;R</t>
  </si>
  <si>
    <t>ECS-240-8-36-RWN-TR3</t>
  </si>
  <si>
    <t>Manufacturer</t>
  </si>
  <si>
    <t>Yageo</t>
  </si>
  <si>
    <t>FH (Guangdong Fenghua Advanced Tech)</t>
  </si>
  <si>
    <t>Murata</t>
  </si>
  <si>
    <t>JST</t>
  </si>
  <si>
    <t>Acconeer</t>
  </si>
  <si>
    <t>ECS Inc.</t>
  </si>
  <si>
    <t>1uF</t>
  </si>
  <si>
    <t>8pF</t>
  </si>
  <si>
    <t>Quantity</t>
  </si>
  <si>
    <t>Remarks</t>
  </si>
  <si>
    <t>-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</si>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</sst>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"/>
  <sheetViews>
    <sheetView tabSelected="1" workbookViewId="0">
      <selection activeCell="D12" sqref="D1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7</v>
      </c>
      <c r="E2" s="6" t="s">
        <v>14</v>
      </c>
      <c r="F2" s="5" t="s">
        <v>21</v>
      </c>
      <c r="G2" s="6" t="s">
        <v>27</v>
      </c>
      <c r="H2" s="5" t="s">
        <v>33</v>
      </c>
      <c r="I2" s="6" t="s">
        <v>45</v>
      </c>
      <c r="J2" s="5" t="s">
        <v>42</v>
      </c>
      <c r="K2" s="5" t="s">
        <v>43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8</v>
      </c>
      <c r="E3" s="8" t="s">
        <v>15</v>
      </c>
      <c r="F3" s="7" t="s">
        <v>22</v>
      </c>
      <c r="G3" s="8" t="s">
        <v>28</v>
      </c>
      <c r="H3" s="7" t="s">
        <v>34</v>
      </c>
      <c r="I3" s="8" t="s">
        <v>40</v>
      </c>
      <c r="J3" s="7">
        <v>4</v>
      </c>
      <c r="K3" s="7"/>
    </row>
    <row r="4" spans="1:11" ht="24.75" thickBot="1" x14ac:dyDescent="0.3">
      <c r="A4" s="1"/>
      <c r="B4" s="11">
        <f t="shared" ref="B4:B8" si="0">ROW(B4) - ROW($B$2)</f>
        <v>2</v>
      </c>
      <c r="C4" s="13" t="s">
        <v>2</v>
      </c>
      <c r="D4" s="9" t="s">
        <v>9</v>
      </c>
      <c r="E4" s="10" t="s">
        <v>16</v>
      </c>
      <c r="F4" s="9" t="s">
        <v>22</v>
      </c>
      <c r="G4" s="10" t="s">
        <v>29</v>
      </c>
      <c r="H4" s="9" t="s">
        <v>35</v>
      </c>
      <c r="I4" s="10" t="s">
        <v>41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10</v>
      </c>
      <c r="E5" s="8" t="s">
        <v>17</v>
      </c>
      <c r="F5" s="7" t="s">
        <v>23</v>
      </c>
      <c r="G5" s="8" t="s">
        <v>30</v>
      </c>
      <c r="H5" s="7" t="s">
        <v>36</v>
      </c>
      <c r="I5" s="8" t="s">
        <v>44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11</v>
      </c>
      <c r="E6" s="10" t="s">
        <v>18</v>
      </c>
      <c r="F6" s="9" t="s">
        <v>24</v>
      </c>
      <c r="G6" s="10" t="s">
        <v>24</v>
      </c>
      <c r="H6" s="9" t="s">
        <v>37</v>
      </c>
      <c r="I6" s="8" t="s">
        <v>44</v>
      </c>
      <c r="J6" s="9">
        <v>1</v>
      </c>
      <c r="K6" s="9"/>
    </row>
    <row r="7" spans="1:11" ht="24.75" thickBot="1" x14ac:dyDescent="0.3">
      <c r="A7" s="1"/>
      <c r="B7" s="11">
        <f>ROW(B7) - ROW($B$2)</f>
        <v>5</v>
      </c>
      <c r="C7" s="12" t="s">
        <v>5</v>
      </c>
      <c r="D7" s="7" t="s">
        <v>12</v>
      </c>
      <c r="E7" s="8" t="s">
        <v>19</v>
      </c>
      <c r="F7" s="7" t="s">
        <v>25</v>
      </c>
      <c r="G7" s="8" t="s">
        <v>31</v>
      </c>
      <c r="H7" s="7" t="s">
        <v>38</v>
      </c>
      <c r="I7" s="8" t="s">
        <v>44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6</v>
      </c>
      <c r="D8" s="9" t="s">
        <v>13</v>
      </c>
      <c r="E8" s="10" t="s">
        <v>20</v>
      </c>
      <c r="F8" s="9" t="s">
        <v>26</v>
      </c>
      <c r="G8" s="10" t="s">
        <v>32</v>
      </c>
      <c r="H8" s="9" t="s">
        <v>39</v>
      </c>
      <c r="I8" s="8" t="s">
        <v>44</v>
      </c>
      <c r="J8" s="9">
        <v>1</v>
      </c>
      <c r="K8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2024-05-08T12:17:04Z</dcterms:modified>
</cp:coreProperties>
</file>